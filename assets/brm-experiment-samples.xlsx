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4D46735C-F228-4868-9DAB-B95DD08609A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ALL" sheetId="1" r:id="rId1"/>
  </sheets>
  <definedNames>
    <definedName name="_xlnm.Print_Area" localSheetId="0">ALL!$A$1:$P$37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8" i="1" l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01" i="1"/>
  <c r="P102" i="1"/>
  <c r="P103" i="1"/>
  <c r="P104" i="1"/>
  <c r="P105" i="1"/>
  <c r="P106" i="1"/>
  <c r="P107" i="1"/>
  <c r="P100" i="1"/>
  <c r="J111" i="1" l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J101" i="1"/>
  <c r="J105" i="1"/>
  <c r="J106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0" i="1"/>
  <c r="J109" i="1"/>
  <c r="J108" i="1"/>
  <c r="J107" i="1"/>
  <c r="J104" i="1"/>
  <c r="J103" i="1"/>
  <c r="J102" i="1"/>
  <c r="J100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J99" i="1"/>
  <c r="J98" i="1"/>
  <c r="J97" i="1"/>
  <c r="J96" i="1"/>
  <c r="J95" i="1"/>
  <c r="J94" i="1"/>
  <c r="J92" i="1"/>
  <c r="J91" i="1"/>
  <c r="J89" i="1"/>
  <c r="J88" i="1"/>
  <c r="J87" i="1"/>
  <c r="J85" i="1"/>
  <c r="J84" i="1"/>
  <c r="J83" i="1"/>
  <c r="J82" i="1"/>
  <c r="J81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J80" i="1"/>
  <c r="I80" i="1"/>
  <c r="J78" i="1" l="1"/>
  <c r="J77" i="1"/>
  <c r="J76" i="1"/>
  <c r="J75" i="1"/>
  <c r="I79" i="1"/>
  <c r="I78" i="1"/>
  <c r="I77" i="1"/>
  <c r="I76" i="1"/>
  <c r="I75" i="1"/>
  <c r="J74" i="1"/>
  <c r="J73" i="1"/>
  <c r="J71" i="1"/>
  <c r="J70" i="1"/>
  <c r="J69" i="1"/>
  <c r="J68" i="1"/>
  <c r="J66" i="1"/>
  <c r="J65" i="1"/>
  <c r="J64" i="1"/>
  <c r="J63" i="1"/>
  <c r="J62" i="1"/>
  <c r="J61" i="1"/>
  <c r="J60" i="1"/>
  <c r="I73" i="1"/>
  <c r="I74" i="1"/>
  <c r="I72" i="1"/>
  <c r="I65" i="1"/>
  <c r="I66" i="1"/>
  <c r="I67" i="1"/>
  <c r="I68" i="1"/>
  <c r="I69" i="1"/>
  <c r="I70" i="1"/>
  <c r="I71" i="1"/>
  <c r="I64" i="1"/>
  <c r="I61" i="1"/>
  <c r="I62" i="1"/>
  <c r="I63" i="1"/>
  <c r="I60" i="1"/>
  <c r="P30" i="1" l="1"/>
  <c r="P31" i="1"/>
  <c r="P32" i="1"/>
  <c r="P33" i="1"/>
  <c r="P26" i="1"/>
  <c r="P27" i="1"/>
  <c r="P28" i="1"/>
  <c r="P29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38" i="1"/>
  <c r="I27" i="1"/>
  <c r="I28" i="1"/>
  <c r="I29" i="1"/>
  <c r="I30" i="1"/>
  <c r="I31" i="1"/>
  <c r="I32" i="1"/>
  <c r="I33" i="1"/>
  <c r="I34" i="1"/>
  <c r="I35" i="1"/>
  <c r="I36" i="1"/>
  <c r="I37" i="1"/>
  <c r="I26" i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" i="1"/>
  <c r="J25" i="1"/>
  <c r="J24" i="1"/>
  <c r="J23" i="1"/>
  <c r="J22" i="1"/>
  <c r="J21" i="1"/>
  <c r="J20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3" i="1"/>
  <c r="I4" i="1"/>
  <c r="I5" i="1"/>
  <c r="I2" i="1"/>
  <c r="J19" i="1"/>
  <c r="J18" i="1"/>
</calcChain>
</file>

<file path=xl/sharedStrings.xml><?xml version="1.0" encoding="utf-8"?>
<sst xmlns="http://schemas.openxmlformats.org/spreadsheetml/2006/main" count="520" uniqueCount="77">
  <si>
    <t xml:space="preserve">Sl No. </t>
  </si>
  <si>
    <t>Sample collection  Date &amp;  Time</t>
  </si>
  <si>
    <t>Profile/Grade</t>
  </si>
  <si>
    <t>Heat No</t>
  </si>
  <si>
    <t>Line/Bar No.</t>
  </si>
  <si>
    <t>Billet No.</t>
  </si>
  <si>
    <t>UTS</t>
  </si>
  <si>
    <t>% El</t>
  </si>
  <si>
    <t>C %</t>
  </si>
  <si>
    <t>Mn %</t>
  </si>
  <si>
    <t>P %</t>
  </si>
  <si>
    <t>S %</t>
  </si>
  <si>
    <t>Si %</t>
  </si>
  <si>
    <t xml:space="preserve">CE </t>
  </si>
  <si>
    <t>TMT-16 mm /FE-550D</t>
  </si>
  <si>
    <t>Line-2--2</t>
  </si>
  <si>
    <t>Line-1--1</t>
  </si>
  <si>
    <t>Line-1--3</t>
  </si>
  <si>
    <t>17-07-2025/13:05 ( Last billet)</t>
  </si>
  <si>
    <t>17-07-2025/15:35( Last billet)</t>
  </si>
  <si>
    <t>17-07-2025/13:05( Last billet)</t>
  </si>
  <si>
    <t xml:space="preserve">17-07-2025/13:05( Last billet) </t>
  </si>
  <si>
    <t>17-07-2025/13:20(First Billet)</t>
  </si>
  <si>
    <t>17-07-2025/16:18(First Billet)</t>
  </si>
  <si>
    <t>C104082</t>
  </si>
  <si>
    <t>C104080</t>
  </si>
  <si>
    <t>19-07-2025/10:11( Last billet)</t>
  </si>
  <si>
    <t>19-07-2025/10:27(First Billet)</t>
  </si>
  <si>
    <t>C104134</t>
  </si>
  <si>
    <t>C104139</t>
  </si>
  <si>
    <t>C104145</t>
  </si>
  <si>
    <t>19-07-2025/15:32( Last billet)</t>
  </si>
  <si>
    <t>19-07-2025/12:40( Last billet)</t>
  </si>
  <si>
    <t>19-07-2025/13:05(First Billet)</t>
  </si>
  <si>
    <t>20-07-2025/9:32 ( Last billet)</t>
  </si>
  <si>
    <t>20-07-2025/09:44(First Billet)</t>
  </si>
  <si>
    <t>C104178</t>
  </si>
  <si>
    <t>TMT-16 mm /SeQR-550D</t>
  </si>
  <si>
    <t>20-07-2025/11:02 ( Last billet)</t>
  </si>
  <si>
    <t>20-07-2025/11:11(First Billet)</t>
  </si>
  <si>
    <t>C104183</t>
  </si>
  <si>
    <t>C104188</t>
  </si>
  <si>
    <t>C104203</t>
  </si>
  <si>
    <t>Line-1-3</t>
  </si>
  <si>
    <t>20-07-2025/11:51( Last billet)</t>
  </si>
  <si>
    <t>20-07-2025/12:04(First Billet)</t>
  </si>
  <si>
    <t>20-07-2025/17:20( Last billet)</t>
  </si>
  <si>
    <t>21-07-2025/10:21 ( Last billet)</t>
  </si>
  <si>
    <t>C104247</t>
  </si>
  <si>
    <t>21-07-2025/10:33(First Billet)</t>
  </si>
  <si>
    <t>21-07-2025/12:53( Last billet)</t>
  </si>
  <si>
    <t>C104252</t>
  </si>
  <si>
    <t>21-07-2025/13:03(First Billet)</t>
  </si>
  <si>
    <t>TMT-16 mm /EQR-500D</t>
  </si>
  <si>
    <t>C104299</t>
  </si>
  <si>
    <t>22-07-2025/10:22 ( First billet)</t>
  </si>
  <si>
    <t>22-07-2025/10:50(Last Billet)</t>
  </si>
  <si>
    <t>22-07-2025/11:48 ( First billet)</t>
  </si>
  <si>
    <t>22-07-2025/12:34(Last Billet)</t>
  </si>
  <si>
    <t>C104305</t>
  </si>
  <si>
    <t>Line-2--4</t>
  </si>
  <si>
    <t>22-07-2025/12:51 ( First billet)</t>
  </si>
  <si>
    <t>22-07-2025/16:18 (Last Billet)</t>
  </si>
  <si>
    <t>22-07-2025/16:25 ( First billet)</t>
  </si>
  <si>
    <t>C104440</t>
  </si>
  <si>
    <t>C104446</t>
  </si>
  <si>
    <t>23-07-2025/11:20 (Last Billet)</t>
  </si>
  <si>
    <t>22-07-2025/11:30 ( First billet)</t>
  </si>
  <si>
    <t>23-07-2025/13:03 (Last Billet)</t>
  </si>
  <si>
    <t>C104448</t>
  </si>
  <si>
    <t>Line-2--6</t>
  </si>
  <si>
    <t>Line-2-8</t>
  </si>
  <si>
    <t>Line-2--8</t>
  </si>
  <si>
    <t>23-07-2025/14:38 (Last Billet)</t>
  </si>
  <si>
    <t>23-07-2025/14:44 ( First billet)</t>
  </si>
  <si>
    <t>YS</t>
  </si>
  <si>
    <t>UTS/YS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</si>
</sst>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8F8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0" fontId="3" fillId="0" borderId="2" xfId="0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65" fontId="1" fillId="0" borderId="0" xfId="0" applyNumberFormat="1" applyFont="1"/>
    <xf numFmtId="165" fontId="3" fillId="0" borderId="2" xfId="0" applyNumberFormat="1" applyFont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7"/>
  <sheetViews>
    <sheetView tabSelected="1" zoomScale="85" zoomScaleNormal="85" workbookViewId="0">
      <selection activeCell="A84" sqref="A84"/>
    </sheetView>
  </sheetViews>
  <sheetFormatPr defaultRowHeight="21" x14ac:dyDescent="0.4"/>
  <cols>
    <col min="1" max="1" width="9.109375" style="3"/>
    <col min="2" max="2" width="31.5546875" style="3" customWidth="1"/>
    <col min="3" max="3" width="42.6640625" style="3" customWidth="1"/>
    <col min="4" max="4" width="14.5546875" style="3" customWidth="1"/>
    <col min="5" max="5" width="17.6640625" style="3" customWidth="1"/>
    <col min="6" max="6" width="14.109375" style="3" customWidth="1"/>
    <col min="7" max="8" width="9.109375" style="1"/>
    <col min="9" max="9" width="11" style="2" customWidth="1"/>
    <col min="10" max="10" width="9.109375" style="13"/>
    <col min="11" max="12" width="9.109375" style="1"/>
    <col min="13" max="13" width="10" style="1" bestFit="1" customWidth="1"/>
    <col min="14" max="15" width="9.109375" style="1"/>
    <col min="16" max="16" width="10" style="2" bestFit="1" customWidth="1"/>
  </cols>
  <sheetData>
    <row r="1" spans="1:16" x14ac:dyDescent="0.4">
      <c r="A1" s="25" t="s">
        <v>0</v>
      </c>
      <c r="B1" s="26" t="s">
        <v>2</v>
      </c>
      <c r="C1" s="26" t="s">
        <v>1</v>
      </c>
      <c r="D1" s="26" t="s">
        <v>3</v>
      </c>
      <c r="E1" s="26" t="s">
        <v>4</v>
      </c>
      <c r="F1" s="26" t="s">
        <v>5</v>
      </c>
      <c r="G1" s="4" t="s">
        <v>75</v>
      </c>
      <c r="H1" s="4" t="s">
        <v>6</v>
      </c>
      <c r="I1" s="5" t="s">
        <v>76</v>
      </c>
      <c r="J1" s="14" t="s">
        <v>7</v>
      </c>
      <c r="K1" s="4" t="s">
        <v>8</v>
      </c>
      <c r="L1" s="4" t="s">
        <v>9</v>
      </c>
      <c r="M1" s="4" t="s">
        <v>12</v>
      </c>
      <c r="N1" s="4" t="s">
        <v>10</v>
      </c>
      <c r="O1" s="4" t="s">
        <v>11</v>
      </c>
      <c r="P1" s="6" t="s">
        <v>13</v>
      </c>
    </row>
    <row r="2" spans="1:16" x14ac:dyDescent="0.4">
      <c r="A2" s="7">
        <v>1</v>
      </c>
      <c r="B2" s="7" t="s">
        <v>14</v>
      </c>
      <c r="C2" s="7" t="s">
        <v>18</v>
      </c>
      <c r="D2" s="7" t="s">
        <v>24</v>
      </c>
      <c r="E2" s="7" t="s">
        <v>15</v>
      </c>
      <c r="F2" s="7">
        <v>240</v>
      </c>
      <c r="G2" s="8">
        <v>600</v>
      </c>
      <c r="H2" s="8">
        <v>705</v>
      </c>
      <c r="I2" s="9">
        <f>H2/G2</f>
        <v>1.175</v>
      </c>
      <c r="J2" s="15">
        <f>17/80*100</f>
        <v>21.25</v>
      </c>
      <c r="K2" s="19">
        <v>0.23</v>
      </c>
      <c r="L2" s="19">
        <v>0.91</v>
      </c>
      <c r="M2" s="20">
        <v>0.22500000000000001</v>
      </c>
      <c r="N2" s="19">
        <v>1.7000000000000001E-2</v>
      </c>
      <c r="O2" s="19">
        <v>1.4E-2</v>
      </c>
      <c r="P2" s="17">
        <f>K2+(L2/6)</f>
        <v>0.38166666666666671</v>
      </c>
    </row>
    <row r="3" spans="1:16" x14ac:dyDescent="0.4">
      <c r="A3" s="7">
        <v>2</v>
      </c>
      <c r="B3" s="7" t="s">
        <v>14</v>
      </c>
      <c r="C3" s="7" t="s">
        <v>21</v>
      </c>
      <c r="D3" s="7" t="s">
        <v>24</v>
      </c>
      <c r="E3" s="7" t="s">
        <v>60</v>
      </c>
      <c r="F3" s="7">
        <v>240</v>
      </c>
      <c r="G3" s="8">
        <v>599</v>
      </c>
      <c r="H3" s="8">
        <v>700</v>
      </c>
      <c r="I3" s="9">
        <f t="shared" ref="I3:I25" si="0">H3/G3</f>
        <v>1.1686143572621035</v>
      </c>
      <c r="J3" s="15">
        <f>16.9/80*100</f>
        <v>21.125</v>
      </c>
      <c r="K3" s="19">
        <v>0.23</v>
      </c>
      <c r="L3" s="19">
        <v>0.93</v>
      </c>
      <c r="M3" s="20">
        <v>0.22</v>
      </c>
      <c r="N3" s="19">
        <v>1.6E-2</v>
      </c>
      <c r="O3" s="19">
        <v>1.0999999999999999E-2</v>
      </c>
      <c r="P3" s="17">
        <f t="shared" ref="P3:P59" si="1">K3+(L3/6)</f>
        <v>0.38500000000000001</v>
      </c>
    </row>
    <row r="4" spans="1:16" x14ac:dyDescent="0.4">
      <c r="A4" s="7">
        <v>3</v>
      </c>
      <c r="B4" s="7" t="s">
        <v>14</v>
      </c>
      <c r="C4" s="7" t="s">
        <v>20</v>
      </c>
      <c r="D4" s="7" t="s">
        <v>24</v>
      </c>
      <c r="E4" s="7" t="s">
        <v>16</v>
      </c>
      <c r="F4" s="7">
        <v>240</v>
      </c>
      <c r="G4" s="8">
        <v>609</v>
      </c>
      <c r="H4" s="8">
        <v>712</v>
      </c>
      <c r="I4" s="9">
        <f t="shared" si="0"/>
        <v>1.1691297208538587</v>
      </c>
      <c r="J4" s="15">
        <f>16.5/80*100</f>
        <v>20.625</v>
      </c>
      <c r="K4" s="19">
        <v>0.22</v>
      </c>
      <c r="L4" s="19">
        <v>0.93</v>
      </c>
      <c r="M4" s="20">
        <v>0.23</v>
      </c>
      <c r="N4" s="19">
        <v>1.7999999999999999E-2</v>
      </c>
      <c r="O4" s="19">
        <v>1.4E-2</v>
      </c>
      <c r="P4" s="17">
        <f t="shared" si="1"/>
        <v>0.375</v>
      </c>
    </row>
    <row r="5" spans="1:16" x14ac:dyDescent="0.4">
      <c r="A5" s="7">
        <v>4</v>
      </c>
      <c r="B5" s="7" t="s">
        <v>14</v>
      </c>
      <c r="C5" s="7" t="s">
        <v>20</v>
      </c>
      <c r="D5" s="7" t="s">
        <v>24</v>
      </c>
      <c r="E5" s="7" t="s">
        <v>17</v>
      </c>
      <c r="F5" s="7">
        <v>240</v>
      </c>
      <c r="G5" s="8">
        <v>596</v>
      </c>
      <c r="H5" s="8">
        <v>698</v>
      </c>
      <c r="I5" s="9">
        <f t="shared" si="0"/>
        <v>1.1711409395973154</v>
      </c>
      <c r="J5" s="15">
        <f>16.9/80*100</f>
        <v>21.125</v>
      </c>
      <c r="K5" s="19">
        <v>0.23</v>
      </c>
      <c r="L5" s="19">
        <v>0.94</v>
      </c>
      <c r="M5" s="20">
        <v>0.23499999999999999</v>
      </c>
      <c r="N5" s="19">
        <v>8.9999999999999993E-3</v>
      </c>
      <c r="O5" s="19">
        <v>1.2999999999999999E-2</v>
      </c>
      <c r="P5" s="17">
        <f t="shared" si="1"/>
        <v>0.38666666666666666</v>
      </c>
    </row>
    <row r="6" spans="1:16" x14ac:dyDescent="0.4">
      <c r="A6" s="10">
        <v>5</v>
      </c>
      <c r="B6" s="10" t="s">
        <v>14</v>
      </c>
      <c r="C6" s="10" t="s">
        <v>22</v>
      </c>
      <c r="D6" s="10" t="s">
        <v>24</v>
      </c>
      <c r="E6" s="10" t="s">
        <v>16</v>
      </c>
      <c r="F6" s="10">
        <v>241</v>
      </c>
      <c r="G6" s="11">
        <v>607</v>
      </c>
      <c r="H6" s="11">
        <v>709</v>
      </c>
      <c r="I6" s="12">
        <f t="shared" si="0"/>
        <v>1.1680395387149918</v>
      </c>
      <c r="J6" s="16">
        <f>17.4/80*100</f>
        <v>21.749999999999996</v>
      </c>
      <c r="K6" s="21">
        <v>0.23</v>
      </c>
      <c r="L6" s="21">
        <v>0.94</v>
      </c>
      <c r="M6" s="24">
        <v>0.22800000000000001</v>
      </c>
      <c r="N6" s="21">
        <v>1.7000000000000001E-2</v>
      </c>
      <c r="O6" s="21">
        <v>1.2999999999999999E-2</v>
      </c>
      <c r="P6" s="18">
        <f t="shared" si="1"/>
        <v>0.38666666666666666</v>
      </c>
    </row>
    <row r="7" spans="1:16" x14ac:dyDescent="0.4">
      <c r="A7" s="10">
        <v>6</v>
      </c>
      <c r="B7" s="10" t="s">
        <v>14</v>
      </c>
      <c r="C7" s="10" t="s">
        <v>22</v>
      </c>
      <c r="D7" s="10" t="s">
        <v>24</v>
      </c>
      <c r="E7" s="10" t="s">
        <v>17</v>
      </c>
      <c r="F7" s="10">
        <v>241</v>
      </c>
      <c r="G7" s="11">
        <v>597</v>
      </c>
      <c r="H7" s="11">
        <v>700</v>
      </c>
      <c r="I7" s="12">
        <f t="shared" si="0"/>
        <v>1.1725293132328307</v>
      </c>
      <c r="J7" s="16">
        <f>16.6/80*100</f>
        <v>20.75</v>
      </c>
      <c r="K7" s="21">
        <v>0.23</v>
      </c>
      <c r="L7" s="21">
        <v>0.94</v>
      </c>
      <c r="M7" s="24">
        <v>0.23100000000000001</v>
      </c>
      <c r="N7" s="21">
        <v>1.7000000000000001E-2</v>
      </c>
      <c r="O7" s="21">
        <v>1.4E-2</v>
      </c>
      <c r="P7" s="18">
        <f t="shared" si="1"/>
        <v>0.38666666666666666</v>
      </c>
    </row>
    <row r="8" spans="1:16" x14ac:dyDescent="0.4">
      <c r="A8" s="10">
        <v>7</v>
      </c>
      <c r="B8" s="10" t="s">
        <v>14</v>
      </c>
      <c r="C8" s="10" t="s">
        <v>22</v>
      </c>
      <c r="D8" s="10" t="s">
        <v>24</v>
      </c>
      <c r="E8" s="10" t="s">
        <v>70</v>
      </c>
      <c r="F8" s="10">
        <v>241</v>
      </c>
      <c r="G8" s="11">
        <v>599</v>
      </c>
      <c r="H8" s="11">
        <v>695</v>
      </c>
      <c r="I8" s="12">
        <f t="shared" si="0"/>
        <v>1.1602671118530885</v>
      </c>
      <c r="J8" s="16">
        <f>16.9/80*100</f>
        <v>21.125</v>
      </c>
      <c r="K8" s="21">
        <v>0.24</v>
      </c>
      <c r="L8" s="21">
        <v>0.92</v>
      </c>
      <c r="M8" s="24">
        <v>0.26300000000000001</v>
      </c>
      <c r="N8" s="21">
        <v>1.7000000000000001E-2</v>
      </c>
      <c r="O8" s="21">
        <v>1.0999999999999999E-2</v>
      </c>
      <c r="P8" s="18">
        <f t="shared" si="1"/>
        <v>0.39333333333333331</v>
      </c>
    </row>
    <row r="9" spans="1:16" x14ac:dyDescent="0.4">
      <c r="A9" s="10">
        <v>8</v>
      </c>
      <c r="B9" s="10" t="s">
        <v>14</v>
      </c>
      <c r="C9" s="10" t="s">
        <v>22</v>
      </c>
      <c r="D9" s="10" t="s">
        <v>24</v>
      </c>
      <c r="E9" s="10" t="s">
        <v>72</v>
      </c>
      <c r="F9" s="10">
        <v>241</v>
      </c>
      <c r="G9" s="11">
        <v>595</v>
      </c>
      <c r="H9" s="11">
        <v>687</v>
      </c>
      <c r="I9" s="12">
        <f t="shared" si="0"/>
        <v>1.1546218487394957</v>
      </c>
      <c r="J9" s="16">
        <f>17.7/80*100</f>
        <v>22.125</v>
      </c>
      <c r="K9" s="21">
        <v>0.23</v>
      </c>
      <c r="L9" s="21">
        <v>0.93</v>
      </c>
      <c r="M9" s="24">
        <v>0.22500000000000001</v>
      </c>
      <c r="N9" s="21">
        <v>1.7000000000000001E-2</v>
      </c>
      <c r="O9" s="21">
        <v>1.2999999999999999E-2</v>
      </c>
      <c r="P9" s="18">
        <f t="shared" si="1"/>
        <v>0.38500000000000001</v>
      </c>
    </row>
    <row r="10" spans="1:16" x14ac:dyDescent="0.4">
      <c r="A10" s="7">
        <v>9</v>
      </c>
      <c r="B10" s="7" t="s">
        <v>14</v>
      </c>
      <c r="C10" s="7" t="s">
        <v>19</v>
      </c>
      <c r="D10" s="7" t="s">
        <v>25</v>
      </c>
      <c r="E10" s="7" t="s">
        <v>15</v>
      </c>
      <c r="F10" s="7">
        <v>152</v>
      </c>
      <c r="G10" s="8">
        <v>593</v>
      </c>
      <c r="H10" s="8">
        <v>714</v>
      </c>
      <c r="I10" s="9">
        <f t="shared" si="0"/>
        <v>1.2040472175379426</v>
      </c>
      <c r="J10" s="15">
        <f>16.4/80*100</f>
        <v>20.5</v>
      </c>
      <c r="K10" s="19">
        <v>0.23</v>
      </c>
      <c r="L10" s="19">
        <v>0.93</v>
      </c>
      <c r="M10" s="20">
        <v>0.223</v>
      </c>
      <c r="N10" s="19">
        <v>1.7000000000000001E-2</v>
      </c>
      <c r="O10" s="19">
        <v>1.2999999999999999E-2</v>
      </c>
      <c r="P10" s="17">
        <f t="shared" si="1"/>
        <v>0.38500000000000001</v>
      </c>
    </row>
    <row r="11" spans="1:16" x14ac:dyDescent="0.4">
      <c r="A11" s="7">
        <v>10</v>
      </c>
      <c r="B11" s="7" t="s">
        <v>14</v>
      </c>
      <c r="C11" s="7" t="s">
        <v>19</v>
      </c>
      <c r="D11" s="7" t="s">
        <v>25</v>
      </c>
      <c r="E11" s="7" t="s">
        <v>60</v>
      </c>
      <c r="F11" s="7">
        <v>152</v>
      </c>
      <c r="G11" s="8">
        <v>587</v>
      </c>
      <c r="H11" s="8">
        <v>708</v>
      </c>
      <c r="I11" s="9">
        <f t="shared" si="0"/>
        <v>1.2061328790459966</v>
      </c>
      <c r="J11" s="15">
        <f>16.8/80*100</f>
        <v>21.000000000000004</v>
      </c>
      <c r="K11" s="19">
        <v>0.25</v>
      </c>
      <c r="L11" s="19">
        <v>0.92</v>
      </c>
      <c r="M11" s="20">
        <v>0.27500000000000002</v>
      </c>
      <c r="N11" s="19">
        <v>1.7000000000000001E-2</v>
      </c>
      <c r="O11" s="19">
        <v>1.2999999999999999E-2</v>
      </c>
      <c r="P11" s="17">
        <f t="shared" si="1"/>
        <v>0.40333333333333332</v>
      </c>
    </row>
    <row r="12" spans="1:16" x14ac:dyDescent="0.4">
      <c r="A12" s="7">
        <v>11</v>
      </c>
      <c r="B12" s="7" t="s">
        <v>14</v>
      </c>
      <c r="C12" s="7" t="s">
        <v>19</v>
      </c>
      <c r="D12" s="7" t="s">
        <v>25</v>
      </c>
      <c r="E12" s="7" t="s">
        <v>16</v>
      </c>
      <c r="F12" s="7">
        <v>152</v>
      </c>
      <c r="G12" s="8">
        <v>604</v>
      </c>
      <c r="H12" s="8">
        <v>721</v>
      </c>
      <c r="I12" s="9">
        <f t="shared" si="0"/>
        <v>1.1937086092715232</v>
      </c>
      <c r="J12" s="15">
        <f>16.3/80*100</f>
        <v>20.375</v>
      </c>
      <c r="K12" s="19">
        <v>0.26</v>
      </c>
      <c r="L12" s="19">
        <v>0.92</v>
      </c>
      <c r="M12" s="20">
        <v>0.27400000000000002</v>
      </c>
      <c r="N12" s="19">
        <v>1.7999999999999999E-2</v>
      </c>
      <c r="O12" s="19">
        <v>1.4E-2</v>
      </c>
      <c r="P12" s="17">
        <f t="shared" si="1"/>
        <v>0.41333333333333333</v>
      </c>
    </row>
    <row r="13" spans="1:16" x14ac:dyDescent="0.4">
      <c r="A13" s="7">
        <v>12</v>
      </c>
      <c r="B13" s="7" t="s">
        <v>14</v>
      </c>
      <c r="C13" s="7" t="s">
        <v>19</v>
      </c>
      <c r="D13" s="7" t="s">
        <v>25</v>
      </c>
      <c r="E13" s="7" t="s">
        <v>17</v>
      </c>
      <c r="F13" s="7">
        <v>152</v>
      </c>
      <c r="G13" s="8">
        <v>597</v>
      </c>
      <c r="H13" s="8">
        <v>716</v>
      </c>
      <c r="I13" s="9">
        <f t="shared" si="0"/>
        <v>1.1993299832495812</v>
      </c>
      <c r="J13" s="15">
        <f>17/80*100</f>
        <v>21.25</v>
      </c>
      <c r="K13" s="19">
        <v>0.25</v>
      </c>
      <c r="L13" s="19">
        <v>0.93</v>
      </c>
      <c r="M13" s="20">
        <v>0.27500000000000002</v>
      </c>
      <c r="N13" s="19">
        <v>1.7000000000000001E-2</v>
      </c>
      <c r="O13" s="19">
        <v>1.2E-2</v>
      </c>
      <c r="P13" s="17">
        <f t="shared" si="1"/>
        <v>0.40500000000000003</v>
      </c>
    </row>
    <row r="14" spans="1:16" x14ac:dyDescent="0.4">
      <c r="A14" s="10">
        <v>13</v>
      </c>
      <c r="B14" s="10" t="s">
        <v>14</v>
      </c>
      <c r="C14" s="10" t="s">
        <v>23</v>
      </c>
      <c r="D14" s="10" t="s">
        <v>25</v>
      </c>
      <c r="E14" s="10" t="s">
        <v>16</v>
      </c>
      <c r="F14" s="10">
        <v>153</v>
      </c>
      <c r="G14" s="11">
        <v>599</v>
      </c>
      <c r="H14" s="11">
        <v>731</v>
      </c>
      <c r="I14" s="12">
        <f t="shared" si="0"/>
        <v>1.2203672787979967</v>
      </c>
      <c r="J14" s="16">
        <f>17.2/80*100</f>
        <v>21.5</v>
      </c>
      <c r="K14" s="21">
        <v>0.26</v>
      </c>
      <c r="L14" s="21">
        <v>0.93</v>
      </c>
      <c r="M14" s="24">
        <v>0.27400000000000002</v>
      </c>
      <c r="N14" s="21">
        <v>1.7000000000000001E-2</v>
      </c>
      <c r="O14" s="21">
        <v>1.4E-2</v>
      </c>
      <c r="P14" s="18">
        <f t="shared" si="1"/>
        <v>0.41500000000000004</v>
      </c>
    </row>
    <row r="15" spans="1:16" x14ac:dyDescent="0.4">
      <c r="A15" s="10">
        <v>14</v>
      </c>
      <c r="B15" s="10" t="s">
        <v>14</v>
      </c>
      <c r="C15" s="10" t="s">
        <v>23</v>
      </c>
      <c r="D15" s="10" t="s">
        <v>25</v>
      </c>
      <c r="E15" s="10" t="s">
        <v>17</v>
      </c>
      <c r="F15" s="10">
        <v>153</v>
      </c>
      <c r="G15" s="11">
        <v>608</v>
      </c>
      <c r="H15" s="11">
        <v>726</v>
      </c>
      <c r="I15" s="12">
        <f t="shared" si="0"/>
        <v>1.194078947368421</v>
      </c>
      <c r="J15" s="16">
        <f>16.6/80*100</f>
        <v>20.75</v>
      </c>
      <c r="K15" s="21">
        <v>0.26</v>
      </c>
      <c r="L15" s="21">
        <v>0.94</v>
      </c>
      <c r="M15" s="24">
        <v>0.27600000000000002</v>
      </c>
      <c r="N15" s="21">
        <v>1.7999999999999999E-2</v>
      </c>
      <c r="O15" s="21">
        <v>1.4999999999999999E-2</v>
      </c>
      <c r="P15" s="18">
        <f t="shared" si="1"/>
        <v>0.41666666666666663</v>
      </c>
    </row>
    <row r="16" spans="1:16" x14ac:dyDescent="0.4">
      <c r="A16" s="10">
        <v>15</v>
      </c>
      <c r="B16" s="10" t="s">
        <v>14</v>
      </c>
      <c r="C16" s="10" t="s">
        <v>23</v>
      </c>
      <c r="D16" s="10" t="s">
        <v>25</v>
      </c>
      <c r="E16" s="10" t="s">
        <v>70</v>
      </c>
      <c r="F16" s="10">
        <v>153</v>
      </c>
      <c r="G16" s="11">
        <v>602</v>
      </c>
      <c r="H16" s="11">
        <v>719</v>
      </c>
      <c r="I16" s="12">
        <f t="shared" si="0"/>
        <v>1.1943521594684385</v>
      </c>
      <c r="J16" s="16">
        <f>16.6/80*100</f>
        <v>20.75</v>
      </c>
      <c r="K16" s="21">
        <v>0.27</v>
      </c>
      <c r="L16" s="21">
        <v>0.93</v>
      </c>
      <c r="M16" s="24">
        <v>0.27400000000000002</v>
      </c>
      <c r="N16" s="21">
        <v>1.7999999999999999E-2</v>
      </c>
      <c r="O16" s="21">
        <v>1.4E-2</v>
      </c>
      <c r="P16" s="18">
        <f t="shared" si="1"/>
        <v>0.42500000000000004</v>
      </c>
    </row>
    <row r="17" spans="1:16" x14ac:dyDescent="0.4">
      <c r="A17" s="10">
        <v>16</v>
      </c>
      <c r="B17" s="10" t="s">
        <v>14</v>
      </c>
      <c r="C17" s="10" t="s">
        <v>23</v>
      </c>
      <c r="D17" s="10" t="s">
        <v>25</v>
      </c>
      <c r="E17" s="10" t="s">
        <v>72</v>
      </c>
      <c r="F17" s="10">
        <v>153</v>
      </c>
      <c r="G17" s="11">
        <v>599</v>
      </c>
      <c r="H17" s="11">
        <v>717</v>
      </c>
      <c r="I17" s="12">
        <f t="shared" si="0"/>
        <v>1.1969949916527547</v>
      </c>
      <c r="J17" s="16">
        <f>18.9/80*100</f>
        <v>23.625</v>
      </c>
      <c r="K17" s="21">
        <v>0.2</v>
      </c>
      <c r="L17" s="21">
        <v>0.86</v>
      </c>
      <c r="M17" s="24">
        <v>0.215</v>
      </c>
      <c r="N17" s="21">
        <v>2.1000000000000001E-2</v>
      </c>
      <c r="O17" s="21">
        <v>1.7999999999999999E-2</v>
      </c>
      <c r="P17" s="18">
        <f t="shared" si="1"/>
        <v>0.34333333333333338</v>
      </c>
    </row>
    <row r="18" spans="1:16" x14ac:dyDescent="0.4">
      <c r="A18" s="7">
        <v>17</v>
      </c>
      <c r="B18" s="7" t="s">
        <v>14</v>
      </c>
      <c r="C18" s="7" t="s">
        <v>26</v>
      </c>
      <c r="D18" s="7" t="s">
        <v>28</v>
      </c>
      <c r="E18" s="7" t="s">
        <v>15</v>
      </c>
      <c r="F18" s="7">
        <v>350</v>
      </c>
      <c r="G18" s="8">
        <v>574</v>
      </c>
      <c r="H18" s="8">
        <v>681</v>
      </c>
      <c r="I18" s="9">
        <f t="shared" si="0"/>
        <v>1.1864111498257839</v>
      </c>
      <c r="J18" s="15">
        <f>17/80*100</f>
        <v>21.25</v>
      </c>
      <c r="K18" s="19">
        <v>0.2</v>
      </c>
      <c r="L18" s="19">
        <v>0.87</v>
      </c>
      <c r="M18" s="20">
        <v>0.22500000000000001</v>
      </c>
      <c r="N18" s="19">
        <v>2.1000000000000001E-2</v>
      </c>
      <c r="O18" s="19">
        <v>1.7999999999999999E-2</v>
      </c>
      <c r="P18" s="17">
        <f t="shared" si="1"/>
        <v>0.34499999999999997</v>
      </c>
    </row>
    <row r="19" spans="1:16" x14ac:dyDescent="0.4">
      <c r="A19" s="7">
        <v>18</v>
      </c>
      <c r="B19" s="7" t="s">
        <v>14</v>
      </c>
      <c r="C19" s="7" t="s">
        <v>26</v>
      </c>
      <c r="D19" s="7" t="s">
        <v>28</v>
      </c>
      <c r="E19" s="7" t="s">
        <v>60</v>
      </c>
      <c r="F19" s="7">
        <v>350</v>
      </c>
      <c r="G19" s="8">
        <v>572</v>
      </c>
      <c r="H19" s="8">
        <v>678</v>
      </c>
      <c r="I19" s="9">
        <f t="shared" si="0"/>
        <v>1.1853146853146854</v>
      </c>
      <c r="J19" s="15">
        <f>15.3/80*100</f>
        <v>19.125</v>
      </c>
      <c r="K19" s="19">
        <v>0.25</v>
      </c>
      <c r="L19" s="19">
        <v>0.93</v>
      </c>
      <c r="M19" s="20">
        <v>0.27300000000000002</v>
      </c>
      <c r="N19" s="19">
        <v>1.7000000000000001E-2</v>
      </c>
      <c r="O19" s="19">
        <v>1.2999999999999999E-2</v>
      </c>
      <c r="P19" s="17">
        <f t="shared" si="1"/>
        <v>0.40500000000000003</v>
      </c>
    </row>
    <row r="20" spans="1:16" x14ac:dyDescent="0.4">
      <c r="A20" s="7">
        <v>19</v>
      </c>
      <c r="B20" s="7" t="s">
        <v>14</v>
      </c>
      <c r="C20" s="7" t="s">
        <v>26</v>
      </c>
      <c r="D20" s="7" t="s">
        <v>28</v>
      </c>
      <c r="E20" s="7" t="s">
        <v>16</v>
      </c>
      <c r="F20" s="7">
        <v>350</v>
      </c>
      <c r="G20" s="8">
        <v>602</v>
      </c>
      <c r="H20" s="8">
        <v>706</v>
      </c>
      <c r="I20" s="9">
        <f t="shared" si="0"/>
        <v>1.1727574750830565</v>
      </c>
      <c r="J20" s="15">
        <f>16.8/80*100</f>
        <v>21.000000000000004</v>
      </c>
      <c r="K20" s="19">
        <v>0.22</v>
      </c>
      <c r="L20" s="19">
        <v>0.85</v>
      </c>
      <c r="M20" s="20">
        <v>0.20300000000000001</v>
      </c>
      <c r="N20" s="19">
        <v>2.3E-2</v>
      </c>
      <c r="O20" s="19">
        <v>1.2999999999999999E-2</v>
      </c>
      <c r="P20" s="17">
        <f t="shared" si="1"/>
        <v>0.36166666666666669</v>
      </c>
    </row>
    <row r="21" spans="1:16" x14ac:dyDescent="0.4">
      <c r="A21" s="7">
        <v>20</v>
      </c>
      <c r="B21" s="7" t="s">
        <v>14</v>
      </c>
      <c r="C21" s="7" t="s">
        <v>26</v>
      </c>
      <c r="D21" s="7" t="s">
        <v>28</v>
      </c>
      <c r="E21" s="7" t="s">
        <v>17</v>
      </c>
      <c r="F21" s="7">
        <v>350</v>
      </c>
      <c r="G21" s="8">
        <v>590</v>
      </c>
      <c r="H21" s="8">
        <v>697</v>
      </c>
      <c r="I21" s="9">
        <f t="shared" si="0"/>
        <v>1.1813559322033897</v>
      </c>
      <c r="J21" s="15">
        <f>18/80*100</f>
        <v>22.5</v>
      </c>
      <c r="K21" s="19">
        <v>0.22</v>
      </c>
      <c r="L21" s="19">
        <v>0.86</v>
      </c>
      <c r="M21" s="20">
        <v>0.21</v>
      </c>
      <c r="N21" s="19">
        <v>2.3E-2</v>
      </c>
      <c r="O21" s="19">
        <v>1.2999999999999999E-2</v>
      </c>
      <c r="P21" s="17">
        <f t="shared" si="1"/>
        <v>0.36333333333333334</v>
      </c>
    </row>
    <row r="22" spans="1:16" x14ac:dyDescent="0.4">
      <c r="A22" s="10">
        <v>21</v>
      </c>
      <c r="B22" s="10" t="s">
        <v>14</v>
      </c>
      <c r="C22" s="10" t="s">
        <v>27</v>
      </c>
      <c r="D22" s="10" t="s">
        <v>28</v>
      </c>
      <c r="E22" s="10" t="s">
        <v>16</v>
      </c>
      <c r="F22" s="10">
        <v>351</v>
      </c>
      <c r="G22" s="11">
        <v>601</v>
      </c>
      <c r="H22" s="11">
        <v>705</v>
      </c>
      <c r="I22" s="12">
        <f t="shared" si="0"/>
        <v>1.1730449251247921</v>
      </c>
      <c r="J22" s="16">
        <f>17.4/80*100</f>
        <v>21.749999999999996</v>
      </c>
      <c r="K22" s="21">
        <v>0.22</v>
      </c>
      <c r="L22" s="21">
        <v>0.87</v>
      </c>
      <c r="M22" s="24">
        <v>0.20899999999999999</v>
      </c>
      <c r="N22" s="21">
        <v>2.3E-2</v>
      </c>
      <c r="O22" s="21">
        <v>1.2999999999999999E-2</v>
      </c>
      <c r="P22" s="18">
        <f t="shared" si="1"/>
        <v>0.36499999999999999</v>
      </c>
    </row>
    <row r="23" spans="1:16" x14ac:dyDescent="0.4">
      <c r="A23" s="10">
        <v>22</v>
      </c>
      <c r="B23" s="10" t="s">
        <v>14</v>
      </c>
      <c r="C23" s="10" t="s">
        <v>27</v>
      </c>
      <c r="D23" s="10" t="s">
        <v>28</v>
      </c>
      <c r="E23" s="10" t="s">
        <v>17</v>
      </c>
      <c r="F23" s="10">
        <v>351</v>
      </c>
      <c r="G23" s="11">
        <v>585</v>
      </c>
      <c r="H23" s="11">
        <v>694</v>
      </c>
      <c r="I23" s="12">
        <f t="shared" si="0"/>
        <v>1.1863247863247863</v>
      </c>
      <c r="J23" s="16">
        <f>18/80*100</f>
        <v>22.5</v>
      </c>
      <c r="K23" s="21">
        <v>0.22</v>
      </c>
      <c r="L23" s="21">
        <v>0.88</v>
      </c>
      <c r="M23" s="24">
        <v>0.215</v>
      </c>
      <c r="N23" s="21">
        <v>2.3E-2</v>
      </c>
      <c r="O23" s="21">
        <v>1.4E-2</v>
      </c>
      <c r="P23" s="18">
        <f t="shared" si="1"/>
        <v>0.3666666666666667</v>
      </c>
    </row>
    <row r="24" spans="1:16" x14ac:dyDescent="0.4">
      <c r="A24" s="10">
        <v>23</v>
      </c>
      <c r="B24" s="10" t="s">
        <v>14</v>
      </c>
      <c r="C24" s="10" t="s">
        <v>27</v>
      </c>
      <c r="D24" s="10" t="s">
        <v>28</v>
      </c>
      <c r="E24" s="10" t="s">
        <v>70</v>
      </c>
      <c r="F24" s="10">
        <v>351</v>
      </c>
      <c r="G24" s="11">
        <v>560</v>
      </c>
      <c r="H24" s="11">
        <v>667</v>
      </c>
      <c r="I24" s="12">
        <f t="shared" si="0"/>
        <v>1.1910714285714286</v>
      </c>
      <c r="J24" s="16">
        <f>16.5/80*100</f>
        <v>20.625</v>
      </c>
      <c r="K24" s="21">
        <v>0.23</v>
      </c>
      <c r="L24" s="21">
        <v>0.88</v>
      </c>
      <c r="M24" s="24">
        <v>0.216</v>
      </c>
      <c r="N24" s="21">
        <v>2.3E-2</v>
      </c>
      <c r="O24" s="21">
        <v>1.2999999999999999E-2</v>
      </c>
      <c r="P24" s="18">
        <f t="shared" si="1"/>
        <v>0.37666666666666671</v>
      </c>
    </row>
    <row r="25" spans="1:16" x14ac:dyDescent="0.4">
      <c r="A25" s="10">
        <v>24</v>
      </c>
      <c r="B25" s="10" t="s">
        <v>14</v>
      </c>
      <c r="C25" s="10" t="s">
        <v>27</v>
      </c>
      <c r="D25" s="10" t="s">
        <v>28</v>
      </c>
      <c r="E25" s="10" t="s">
        <v>72</v>
      </c>
      <c r="F25" s="10">
        <v>351</v>
      </c>
      <c r="G25" s="11">
        <v>566</v>
      </c>
      <c r="H25" s="11">
        <v>687</v>
      </c>
      <c r="I25" s="12">
        <f t="shared" si="0"/>
        <v>1.2137809187279152</v>
      </c>
      <c r="J25" s="16">
        <f>14.1/80*100</f>
        <v>17.625</v>
      </c>
      <c r="K25" s="21">
        <v>0.23</v>
      </c>
      <c r="L25" s="21">
        <v>0.89</v>
      </c>
      <c r="M25" s="24">
        <v>0.22</v>
      </c>
      <c r="N25" s="21">
        <v>2.3E-2</v>
      </c>
      <c r="O25" s="21">
        <v>1.4E-2</v>
      </c>
      <c r="P25" s="18">
        <f t="shared" si="1"/>
        <v>0.37833333333333335</v>
      </c>
    </row>
    <row r="26" spans="1:16" x14ac:dyDescent="0.4">
      <c r="A26" s="7">
        <v>25</v>
      </c>
      <c r="B26" s="7" t="s">
        <v>14</v>
      </c>
      <c r="C26" s="7" t="s">
        <v>32</v>
      </c>
      <c r="D26" s="7" t="s">
        <v>29</v>
      </c>
      <c r="E26" s="7" t="s">
        <v>15</v>
      </c>
      <c r="F26" s="7">
        <v>555</v>
      </c>
      <c r="G26" s="8">
        <v>582</v>
      </c>
      <c r="H26" s="8">
        <v>681</v>
      </c>
      <c r="I26" s="9">
        <f>H26/G26</f>
        <v>1.1701030927835052</v>
      </c>
      <c r="J26" s="15">
        <f>((95.7-80)/80)*100</f>
        <v>19.625000000000004</v>
      </c>
      <c r="K26" s="19">
        <v>0.23</v>
      </c>
      <c r="L26" s="19">
        <v>0.86</v>
      </c>
      <c r="M26" s="20">
        <v>0.22</v>
      </c>
      <c r="N26" s="19">
        <v>1.7999999999999999E-2</v>
      </c>
      <c r="O26" s="19">
        <v>1.4E-2</v>
      </c>
      <c r="P26" s="17">
        <f t="shared" si="1"/>
        <v>0.37333333333333335</v>
      </c>
    </row>
    <row r="27" spans="1:16" x14ac:dyDescent="0.4">
      <c r="A27" s="7">
        <v>26</v>
      </c>
      <c r="B27" s="7" t="s">
        <v>14</v>
      </c>
      <c r="C27" s="7" t="s">
        <v>32</v>
      </c>
      <c r="D27" s="7" t="s">
        <v>29</v>
      </c>
      <c r="E27" s="7" t="s">
        <v>60</v>
      </c>
      <c r="F27" s="7">
        <v>555</v>
      </c>
      <c r="G27" s="8">
        <v>588</v>
      </c>
      <c r="H27" s="8">
        <v>688</v>
      </c>
      <c r="I27" s="9">
        <f t="shared" ref="I27:I79" si="2">H27/G27</f>
        <v>1.1700680272108843</v>
      </c>
      <c r="J27" s="15">
        <f>((96.2-80)/80)*100</f>
        <v>20.250000000000004</v>
      </c>
      <c r="K27" s="19">
        <v>0.24</v>
      </c>
      <c r="L27" s="19">
        <v>0.85</v>
      </c>
      <c r="M27" s="20">
        <v>0.215</v>
      </c>
      <c r="N27" s="19">
        <v>8.9999999999999993E-3</v>
      </c>
      <c r="O27" s="19">
        <v>1.4E-2</v>
      </c>
      <c r="P27" s="17">
        <f t="shared" si="1"/>
        <v>0.38166666666666665</v>
      </c>
    </row>
    <row r="28" spans="1:16" x14ac:dyDescent="0.4">
      <c r="A28" s="7">
        <v>27</v>
      </c>
      <c r="B28" s="7" t="s">
        <v>14</v>
      </c>
      <c r="C28" s="7" t="s">
        <v>32</v>
      </c>
      <c r="D28" s="7" t="s">
        <v>29</v>
      </c>
      <c r="E28" s="7" t="s">
        <v>16</v>
      </c>
      <c r="F28" s="7">
        <v>555</v>
      </c>
      <c r="G28" s="8">
        <v>599</v>
      </c>
      <c r="H28" s="8">
        <v>699</v>
      </c>
      <c r="I28" s="9">
        <f t="shared" si="2"/>
        <v>1.1669449081803005</v>
      </c>
      <c r="J28" s="15">
        <f>((96.5-80)/80)*100</f>
        <v>20.625</v>
      </c>
      <c r="K28" s="20">
        <v>0.2</v>
      </c>
      <c r="L28" s="19">
        <v>0.85</v>
      </c>
      <c r="M28" s="20">
        <v>0.224</v>
      </c>
      <c r="N28" s="19">
        <v>2.4E-2</v>
      </c>
      <c r="O28" s="19">
        <v>1.7000000000000001E-2</v>
      </c>
      <c r="P28" s="17">
        <f t="shared" si="1"/>
        <v>0.34166666666666667</v>
      </c>
    </row>
    <row r="29" spans="1:16" x14ac:dyDescent="0.4">
      <c r="A29" s="7">
        <v>28</v>
      </c>
      <c r="B29" s="7" t="s">
        <v>14</v>
      </c>
      <c r="C29" s="7" t="s">
        <v>32</v>
      </c>
      <c r="D29" s="7" t="s">
        <v>29</v>
      </c>
      <c r="E29" s="7" t="s">
        <v>17</v>
      </c>
      <c r="F29" s="7">
        <v>555</v>
      </c>
      <c r="G29" s="8">
        <v>607</v>
      </c>
      <c r="H29" s="8">
        <v>706</v>
      </c>
      <c r="I29" s="9">
        <f t="shared" si="2"/>
        <v>1.1630971993410215</v>
      </c>
      <c r="J29" s="15">
        <f>((97.5-80)/80)*100</f>
        <v>21.875</v>
      </c>
      <c r="K29" s="19">
        <v>0.24</v>
      </c>
      <c r="L29" s="19">
        <v>0.84</v>
      </c>
      <c r="M29" s="20">
        <v>0.21199999999999999</v>
      </c>
      <c r="N29" s="19">
        <v>8.0000000000000002E-3</v>
      </c>
      <c r="O29" s="19">
        <v>1.2999999999999999E-2</v>
      </c>
      <c r="P29" s="17">
        <f t="shared" si="1"/>
        <v>0.38</v>
      </c>
    </row>
    <row r="30" spans="1:16" x14ac:dyDescent="0.4">
      <c r="A30" s="10">
        <v>29</v>
      </c>
      <c r="B30" s="10" t="s">
        <v>14</v>
      </c>
      <c r="C30" s="10" t="s">
        <v>33</v>
      </c>
      <c r="D30" s="10" t="s">
        <v>29</v>
      </c>
      <c r="E30" s="10" t="s">
        <v>16</v>
      </c>
      <c r="F30" s="10">
        <v>556</v>
      </c>
      <c r="G30" s="11">
        <v>591</v>
      </c>
      <c r="H30" s="11">
        <v>696</v>
      </c>
      <c r="I30" s="12">
        <f t="shared" si="2"/>
        <v>1.1776649746192893</v>
      </c>
      <c r="J30" s="16">
        <f>((97.5-80)/80)*100</f>
        <v>21.875</v>
      </c>
      <c r="K30" s="21">
        <v>0.23</v>
      </c>
      <c r="L30" s="21">
        <v>0.86</v>
      </c>
      <c r="M30" s="24">
        <v>0.217</v>
      </c>
      <c r="N30" s="21">
        <v>1.9E-2</v>
      </c>
      <c r="O30" s="21">
        <v>1.4E-2</v>
      </c>
      <c r="P30" s="18">
        <f t="shared" si="1"/>
        <v>0.37333333333333335</v>
      </c>
    </row>
    <row r="31" spans="1:16" x14ac:dyDescent="0.4">
      <c r="A31" s="10">
        <v>30</v>
      </c>
      <c r="B31" s="10" t="s">
        <v>14</v>
      </c>
      <c r="C31" s="10" t="s">
        <v>33</v>
      </c>
      <c r="D31" s="10" t="s">
        <v>29</v>
      </c>
      <c r="E31" s="10" t="s">
        <v>17</v>
      </c>
      <c r="F31" s="10">
        <v>556</v>
      </c>
      <c r="G31" s="11">
        <v>586</v>
      </c>
      <c r="H31" s="11">
        <v>695</v>
      </c>
      <c r="I31" s="12">
        <f t="shared" si="2"/>
        <v>1.1860068259385665</v>
      </c>
      <c r="J31" s="16">
        <f>((97.7-80)/80)*100</f>
        <v>22.125000000000004</v>
      </c>
      <c r="K31" s="21">
        <v>0.19</v>
      </c>
      <c r="L31" s="21">
        <v>0.72</v>
      </c>
      <c r="M31" s="24">
        <v>0.19700000000000001</v>
      </c>
      <c r="N31" s="21">
        <v>1.4E-2</v>
      </c>
      <c r="O31" s="21">
        <v>1.6E-2</v>
      </c>
      <c r="P31" s="18">
        <f t="shared" si="1"/>
        <v>0.31</v>
      </c>
    </row>
    <row r="32" spans="1:16" x14ac:dyDescent="0.4">
      <c r="A32" s="10">
        <v>31</v>
      </c>
      <c r="B32" s="10" t="s">
        <v>14</v>
      </c>
      <c r="C32" s="10" t="s">
        <v>33</v>
      </c>
      <c r="D32" s="10" t="s">
        <v>29</v>
      </c>
      <c r="E32" s="10" t="s">
        <v>70</v>
      </c>
      <c r="F32" s="10">
        <v>556</v>
      </c>
      <c r="G32" s="11">
        <v>574</v>
      </c>
      <c r="H32" s="11">
        <v>682</v>
      </c>
      <c r="I32" s="12">
        <f t="shared" si="2"/>
        <v>1.1881533101045296</v>
      </c>
      <c r="J32" s="16">
        <f>((96.6-80)/80)*100</f>
        <v>20.749999999999993</v>
      </c>
      <c r="K32" s="21">
        <v>0.23</v>
      </c>
      <c r="L32" s="21">
        <v>0.86</v>
      </c>
      <c r="M32" s="24">
        <v>0.191</v>
      </c>
      <c r="N32" s="21">
        <v>0.02</v>
      </c>
      <c r="O32" s="21">
        <v>7.0000000000000001E-3</v>
      </c>
      <c r="P32" s="18">
        <f t="shared" si="1"/>
        <v>0.37333333333333335</v>
      </c>
    </row>
    <row r="33" spans="1:16" x14ac:dyDescent="0.4">
      <c r="A33" s="10">
        <v>32</v>
      </c>
      <c r="B33" s="10" t="s">
        <v>14</v>
      </c>
      <c r="C33" s="10" t="s">
        <v>33</v>
      </c>
      <c r="D33" s="10" t="s">
        <v>29</v>
      </c>
      <c r="E33" s="10" t="s">
        <v>72</v>
      </c>
      <c r="F33" s="10">
        <v>556</v>
      </c>
      <c r="G33" s="11">
        <v>587</v>
      </c>
      <c r="H33" s="11">
        <v>692</v>
      </c>
      <c r="I33" s="12">
        <f t="shared" si="2"/>
        <v>1.1788756388415673</v>
      </c>
      <c r="J33" s="16">
        <f>((96.3-80)/80)*100</f>
        <v>20.374999999999996</v>
      </c>
      <c r="K33" s="21">
        <v>0.17</v>
      </c>
      <c r="L33" s="21">
        <v>0.66</v>
      </c>
      <c r="M33" s="24">
        <v>0.17100000000000001</v>
      </c>
      <c r="N33" s="21">
        <v>1.2E-2</v>
      </c>
      <c r="O33" s="21">
        <v>1.2999999999999999E-2</v>
      </c>
      <c r="P33" s="18">
        <f t="shared" si="1"/>
        <v>0.28000000000000003</v>
      </c>
    </row>
    <row r="34" spans="1:16" x14ac:dyDescent="0.4">
      <c r="A34" s="7">
        <v>33</v>
      </c>
      <c r="B34" s="7" t="s">
        <v>14</v>
      </c>
      <c r="C34" s="7" t="s">
        <v>31</v>
      </c>
      <c r="D34" s="7" t="s">
        <v>30</v>
      </c>
      <c r="E34" s="7" t="s">
        <v>15</v>
      </c>
      <c r="F34" s="7">
        <v>131</v>
      </c>
      <c r="G34" s="8">
        <v>574</v>
      </c>
      <c r="H34" s="8">
        <v>666</v>
      </c>
      <c r="I34" s="9">
        <f t="shared" si="2"/>
        <v>1.1602787456445993</v>
      </c>
      <c r="J34" s="15">
        <f>((95.9-80)/80)*100</f>
        <v>19.875000000000007</v>
      </c>
      <c r="K34" s="19">
        <v>0.2</v>
      </c>
      <c r="L34" s="19">
        <v>0.83</v>
      </c>
      <c r="M34" s="20">
        <v>0.215</v>
      </c>
      <c r="N34" s="19">
        <v>2.3E-2</v>
      </c>
      <c r="O34" s="19">
        <v>1.7000000000000001E-2</v>
      </c>
      <c r="P34" s="17">
        <f t="shared" si="1"/>
        <v>0.33833333333333337</v>
      </c>
    </row>
    <row r="35" spans="1:16" x14ac:dyDescent="0.4">
      <c r="A35" s="7">
        <v>34</v>
      </c>
      <c r="B35" s="7" t="s">
        <v>14</v>
      </c>
      <c r="C35" s="7" t="s">
        <v>31</v>
      </c>
      <c r="D35" s="7" t="s">
        <v>30</v>
      </c>
      <c r="E35" s="7" t="s">
        <v>60</v>
      </c>
      <c r="F35" s="7">
        <v>131</v>
      </c>
      <c r="G35" s="8">
        <v>565</v>
      </c>
      <c r="H35" s="8">
        <v>663</v>
      </c>
      <c r="I35" s="9">
        <f t="shared" si="2"/>
        <v>1.1734513274336282</v>
      </c>
      <c r="J35" s="15">
        <f>((95.1-80)/80)*100</f>
        <v>18.874999999999993</v>
      </c>
      <c r="K35" s="19">
        <v>0.2</v>
      </c>
      <c r="L35" s="19">
        <v>0.85</v>
      </c>
      <c r="M35" s="20">
        <v>0.22</v>
      </c>
      <c r="N35" s="19">
        <v>2.5000000000000001E-2</v>
      </c>
      <c r="O35" s="19">
        <v>1.7999999999999999E-2</v>
      </c>
      <c r="P35" s="17">
        <f t="shared" si="1"/>
        <v>0.34166666666666667</v>
      </c>
    </row>
    <row r="36" spans="1:16" x14ac:dyDescent="0.4">
      <c r="A36" s="7">
        <v>35</v>
      </c>
      <c r="B36" s="7" t="s">
        <v>14</v>
      </c>
      <c r="C36" s="7" t="s">
        <v>31</v>
      </c>
      <c r="D36" s="7" t="s">
        <v>30</v>
      </c>
      <c r="E36" s="7" t="s">
        <v>16</v>
      </c>
      <c r="F36" s="7">
        <v>131</v>
      </c>
      <c r="G36" s="8">
        <v>594</v>
      </c>
      <c r="H36" s="8">
        <v>683</v>
      </c>
      <c r="I36" s="9">
        <f t="shared" si="2"/>
        <v>1.1498316498316499</v>
      </c>
      <c r="J36" s="15">
        <f>((97.4-80)/80)*100</f>
        <v>21.750000000000007</v>
      </c>
      <c r="K36" s="19">
        <v>0.2</v>
      </c>
      <c r="L36" s="19">
        <v>0.84</v>
      </c>
      <c r="M36" s="20">
        <v>0.219</v>
      </c>
      <c r="N36" s="19">
        <v>1.2E-2</v>
      </c>
      <c r="O36" s="19">
        <v>1.7000000000000001E-2</v>
      </c>
      <c r="P36" s="17">
        <f t="shared" si="1"/>
        <v>0.33999999999999997</v>
      </c>
    </row>
    <row r="37" spans="1:16" x14ac:dyDescent="0.4">
      <c r="A37" s="7">
        <v>36</v>
      </c>
      <c r="B37" s="7" t="s">
        <v>14</v>
      </c>
      <c r="C37" s="7" t="s">
        <v>31</v>
      </c>
      <c r="D37" s="7" t="s">
        <v>30</v>
      </c>
      <c r="E37" s="7" t="s">
        <v>17</v>
      </c>
      <c r="F37" s="7">
        <v>131</v>
      </c>
      <c r="G37" s="8">
        <v>594</v>
      </c>
      <c r="H37" s="8">
        <v>681</v>
      </c>
      <c r="I37" s="9">
        <f t="shared" si="2"/>
        <v>1.1464646464646464</v>
      </c>
      <c r="J37" s="15">
        <f>((98.9-80)/80)*100</f>
        <v>23.625000000000007</v>
      </c>
      <c r="K37" s="19">
        <v>0.22</v>
      </c>
      <c r="L37" s="19">
        <v>0.93</v>
      </c>
      <c r="M37" s="20">
        <v>0.25800000000000001</v>
      </c>
      <c r="N37" s="19">
        <v>1.4999999999999999E-2</v>
      </c>
      <c r="O37" s="19">
        <v>1.6E-2</v>
      </c>
      <c r="P37" s="17">
        <f t="shared" si="1"/>
        <v>0.375</v>
      </c>
    </row>
    <row r="38" spans="1:16" x14ac:dyDescent="0.4">
      <c r="A38" s="7">
        <v>37</v>
      </c>
      <c r="B38" s="7" t="s">
        <v>37</v>
      </c>
      <c r="C38" s="7" t="s">
        <v>34</v>
      </c>
      <c r="D38" s="7" t="s">
        <v>36</v>
      </c>
      <c r="E38" s="7" t="s">
        <v>15</v>
      </c>
      <c r="F38" s="7">
        <v>35</v>
      </c>
      <c r="G38" s="8">
        <v>575</v>
      </c>
      <c r="H38" s="8">
        <v>683</v>
      </c>
      <c r="I38" s="9">
        <f t="shared" si="2"/>
        <v>1.1878260869565218</v>
      </c>
      <c r="J38" s="15">
        <f>((97.7-80)/80)*100</f>
        <v>22.125000000000004</v>
      </c>
      <c r="K38" s="19">
        <v>0.23</v>
      </c>
      <c r="L38" s="19">
        <v>0.91</v>
      </c>
      <c r="M38" s="20">
        <v>0.22900000000000001</v>
      </c>
      <c r="N38" s="19">
        <v>1.7000000000000001E-2</v>
      </c>
      <c r="O38" s="19">
        <v>1.7999999999999999E-2</v>
      </c>
      <c r="P38" s="17">
        <f t="shared" si="1"/>
        <v>0.38166666666666671</v>
      </c>
    </row>
    <row r="39" spans="1:16" x14ac:dyDescent="0.4">
      <c r="A39" s="7">
        <v>38</v>
      </c>
      <c r="B39" s="7" t="s">
        <v>37</v>
      </c>
      <c r="C39" s="7" t="s">
        <v>34</v>
      </c>
      <c r="D39" s="7" t="s">
        <v>36</v>
      </c>
      <c r="E39" s="7" t="s">
        <v>17</v>
      </c>
      <c r="F39" s="7">
        <v>35</v>
      </c>
      <c r="G39" s="8">
        <v>610</v>
      </c>
      <c r="H39" s="8">
        <v>715</v>
      </c>
      <c r="I39" s="9">
        <f t="shared" si="2"/>
        <v>1.1721311475409837</v>
      </c>
      <c r="J39" s="15">
        <f>((93.5-80)/80)*100</f>
        <v>16.875</v>
      </c>
      <c r="K39" s="19">
        <v>0.23</v>
      </c>
      <c r="L39" s="19">
        <v>0.91</v>
      </c>
      <c r="M39" s="20">
        <v>0.22600000000000001</v>
      </c>
      <c r="N39" s="19">
        <v>1.7000000000000001E-2</v>
      </c>
      <c r="O39" s="19">
        <v>1.7000000000000001E-2</v>
      </c>
      <c r="P39" s="17">
        <f t="shared" si="1"/>
        <v>0.38166666666666671</v>
      </c>
    </row>
    <row r="40" spans="1:16" x14ac:dyDescent="0.4">
      <c r="A40" s="10">
        <v>39</v>
      </c>
      <c r="B40" s="10" t="s">
        <v>37</v>
      </c>
      <c r="C40" s="10" t="s">
        <v>35</v>
      </c>
      <c r="D40" s="10" t="s">
        <v>36</v>
      </c>
      <c r="E40" s="10" t="s">
        <v>16</v>
      </c>
      <c r="F40" s="10">
        <v>36</v>
      </c>
      <c r="G40" s="11">
        <v>619</v>
      </c>
      <c r="H40" s="11">
        <v>719</v>
      </c>
      <c r="I40" s="12">
        <f t="shared" si="2"/>
        <v>1.1615508885298869</v>
      </c>
      <c r="J40" s="16">
        <f>((93.5-80)/80)*100</f>
        <v>16.875</v>
      </c>
      <c r="K40" s="21">
        <v>0.23</v>
      </c>
      <c r="L40" s="21">
        <v>0.94</v>
      </c>
      <c r="M40" s="24">
        <v>0.26200000000000001</v>
      </c>
      <c r="N40" s="21">
        <v>1.7000000000000001E-2</v>
      </c>
      <c r="O40" s="21">
        <v>1.6E-2</v>
      </c>
      <c r="P40" s="18">
        <f t="shared" si="1"/>
        <v>0.38666666666666666</v>
      </c>
    </row>
    <row r="41" spans="1:16" x14ac:dyDescent="0.4">
      <c r="A41" s="10">
        <v>40</v>
      </c>
      <c r="B41" s="10" t="s">
        <v>37</v>
      </c>
      <c r="C41" s="10" t="s">
        <v>35</v>
      </c>
      <c r="D41" s="10" t="s">
        <v>36</v>
      </c>
      <c r="E41" s="10" t="s">
        <v>17</v>
      </c>
      <c r="F41" s="10">
        <v>36</v>
      </c>
      <c r="G41" s="11">
        <v>608</v>
      </c>
      <c r="H41" s="11">
        <v>713</v>
      </c>
      <c r="I41" s="12">
        <f t="shared" si="2"/>
        <v>1.1726973684210527</v>
      </c>
      <c r="J41" s="16">
        <f>((95.12-80)/80)*100</f>
        <v>18.900000000000006</v>
      </c>
      <c r="K41" s="21">
        <v>0.23</v>
      </c>
      <c r="L41" s="21">
        <v>0.96</v>
      </c>
      <c r="M41" s="24">
        <v>0.28299999999999997</v>
      </c>
      <c r="N41" s="21">
        <v>1.7000000000000001E-2</v>
      </c>
      <c r="O41" s="21">
        <v>1.4E-2</v>
      </c>
      <c r="P41" s="18">
        <f t="shared" si="1"/>
        <v>0.39</v>
      </c>
    </row>
    <row r="42" spans="1:16" x14ac:dyDescent="0.4">
      <c r="A42" s="10">
        <v>41</v>
      </c>
      <c r="B42" s="10" t="s">
        <v>37</v>
      </c>
      <c r="C42" s="10" t="s">
        <v>35</v>
      </c>
      <c r="D42" s="10" t="s">
        <v>36</v>
      </c>
      <c r="E42" s="10" t="s">
        <v>70</v>
      </c>
      <c r="F42" s="10">
        <v>36</v>
      </c>
      <c r="G42" s="11">
        <v>583</v>
      </c>
      <c r="H42" s="11">
        <v>690</v>
      </c>
      <c r="I42" s="12">
        <f t="shared" si="2"/>
        <v>1.1835334476843911</v>
      </c>
      <c r="J42" s="16">
        <f>((97.2-80)/80)*100</f>
        <v>21.500000000000004</v>
      </c>
      <c r="K42" s="21">
        <v>0.23</v>
      </c>
      <c r="L42" s="21">
        <v>0.87</v>
      </c>
      <c r="M42" s="24">
        <v>0.23</v>
      </c>
      <c r="N42" s="21">
        <v>1.4999999999999999E-2</v>
      </c>
      <c r="O42" s="21">
        <v>0.01</v>
      </c>
      <c r="P42" s="18">
        <f t="shared" si="1"/>
        <v>0.375</v>
      </c>
    </row>
    <row r="43" spans="1:16" x14ac:dyDescent="0.4">
      <c r="A43" s="10">
        <v>42</v>
      </c>
      <c r="B43" s="10" t="s">
        <v>37</v>
      </c>
      <c r="C43" s="10" t="s">
        <v>35</v>
      </c>
      <c r="D43" s="10" t="s">
        <v>36</v>
      </c>
      <c r="E43" s="10" t="s">
        <v>72</v>
      </c>
      <c r="F43" s="10">
        <v>36</v>
      </c>
      <c r="G43" s="11">
        <v>570</v>
      </c>
      <c r="H43" s="11">
        <v>681</v>
      </c>
      <c r="I43" s="12">
        <f t="shared" si="2"/>
        <v>1.1947368421052631</v>
      </c>
      <c r="J43" s="16">
        <f>((98-80)/80)*100</f>
        <v>22.5</v>
      </c>
      <c r="K43" s="21">
        <v>0.23</v>
      </c>
      <c r="L43" s="21">
        <v>0.86</v>
      </c>
      <c r="M43" s="24">
        <v>0.22</v>
      </c>
      <c r="N43" s="21">
        <v>8.9999999999999993E-3</v>
      </c>
      <c r="O43" s="21">
        <v>1.0999999999999999E-2</v>
      </c>
      <c r="P43" s="18">
        <f t="shared" si="1"/>
        <v>0.37333333333333335</v>
      </c>
    </row>
    <row r="44" spans="1:16" x14ac:dyDescent="0.4">
      <c r="A44" s="7">
        <v>43</v>
      </c>
      <c r="B44" s="7" t="s">
        <v>37</v>
      </c>
      <c r="C44" s="7" t="s">
        <v>38</v>
      </c>
      <c r="D44" s="7" t="s">
        <v>40</v>
      </c>
      <c r="E44" s="7" t="s">
        <v>15</v>
      </c>
      <c r="F44" s="7">
        <v>157</v>
      </c>
      <c r="G44" s="8">
        <v>577</v>
      </c>
      <c r="H44" s="8">
        <v>673</v>
      </c>
      <c r="I44" s="9">
        <f t="shared" si="2"/>
        <v>1.1663778162911611</v>
      </c>
      <c r="J44" s="15">
        <f>((95.6-80)/80)*100</f>
        <v>19.499999999999993</v>
      </c>
      <c r="K44" s="19">
        <v>0.24</v>
      </c>
      <c r="L44" s="19">
        <v>0.85</v>
      </c>
      <c r="M44" s="20">
        <v>0.189</v>
      </c>
      <c r="N44" s="19">
        <v>0.02</v>
      </c>
      <c r="O44" s="19">
        <v>8.0000000000000002E-3</v>
      </c>
      <c r="P44" s="17">
        <f t="shared" si="1"/>
        <v>0.38166666666666665</v>
      </c>
    </row>
    <row r="45" spans="1:16" x14ac:dyDescent="0.4">
      <c r="A45" s="7">
        <v>44</v>
      </c>
      <c r="B45" s="7" t="s">
        <v>37</v>
      </c>
      <c r="C45" s="7" t="s">
        <v>38</v>
      </c>
      <c r="D45" s="7" t="s">
        <v>40</v>
      </c>
      <c r="E45" s="7" t="s">
        <v>60</v>
      </c>
      <c r="F45" s="7">
        <v>157</v>
      </c>
      <c r="G45" s="8">
        <v>579</v>
      </c>
      <c r="H45" s="8">
        <v>674</v>
      </c>
      <c r="I45" s="9">
        <f t="shared" si="2"/>
        <v>1.1640759930915372</v>
      </c>
      <c r="J45" s="15">
        <f>((96.8-80)/80)*100</f>
        <v>20.999999999999996</v>
      </c>
      <c r="K45" s="19">
        <v>0.2</v>
      </c>
      <c r="L45" s="19">
        <v>0.86</v>
      </c>
      <c r="M45" s="20">
        <v>0.22500000000000001</v>
      </c>
      <c r="N45" s="19">
        <v>1.7999999999999999E-2</v>
      </c>
      <c r="O45" s="19">
        <v>1.7999999999999999E-2</v>
      </c>
      <c r="P45" s="17">
        <f t="shared" si="1"/>
        <v>0.34333333333333338</v>
      </c>
    </row>
    <row r="46" spans="1:16" x14ac:dyDescent="0.4">
      <c r="A46" s="7">
        <v>45</v>
      </c>
      <c r="B46" s="7" t="s">
        <v>37</v>
      </c>
      <c r="C46" s="7" t="s">
        <v>38</v>
      </c>
      <c r="D46" s="7" t="s">
        <v>40</v>
      </c>
      <c r="E46" s="7" t="s">
        <v>16</v>
      </c>
      <c r="F46" s="7">
        <v>157</v>
      </c>
      <c r="G46" s="8">
        <v>615</v>
      </c>
      <c r="H46" s="8">
        <v>706</v>
      </c>
      <c r="I46" s="9">
        <f t="shared" si="2"/>
        <v>1.1479674796747967</v>
      </c>
      <c r="J46" s="15">
        <f>((96.8-80)/80)*100</f>
        <v>20.999999999999996</v>
      </c>
      <c r="K46" s="19">
        <v>0.21</v>
      </c>
      <c r="L46" s="19">
        <v>0.85</v>
      </c>
      <c r="M46" s="20">
        <v>0.22</v>
      </c>
      <c r="N46" s="19">
        <v>2.4E-2</v>
      </c>
      <c r="O46" s="19">
        <v>1.7999999999999999E-2</v>
      </c>
      <c r="P46" s="17">
        <f t="shared" si="1"/>
        <v>0.35166666666666668</v>
      </c>
    </row>
    <row r="47" spans="1:16" x14ac:dyDescent="0.4">
      <c r="A47" s="7">
        <v>46</v>
      </c>
      <c r="B47" s="7" t="s">
        <v>37</v>
      </c>
      <c r="C47" s="7" t="s">
        <v>38</v>
      </c>
      <c r="D47" s="7" t="s">
        <v>40</v>
      </c>
      <c r="E47" s="7" t="s">
        <v>17</v>
      </c>
      <c r="F47" s="7">
        <v>157</v>
      </c>
      <c r="G47" s="8">
        <v>610</v>
      </c>
      <c r="H47" s="8">
        <v>700</v>
      </c>
      <c r="I47" s="9">
        <f t="shared" si="2"/>
        <v>1.1475409836065573</v>
      </c>
      <c r="J47" s="15">
        <f>((95-80)/80)*100</f>
        <v>18.75</v>
      </c>
      <c r="K47" s="19">
        <v>0.24</v>
      </c>
      <c r="L47" s="19">
        <v>0.83</v>
      </c>
      <c r="M47" s="20">
        <v>0.183</v>
      </c>
      <c r="N47" s="19">
        <v>0.02</v>
      </c>
      <c r="O47" s="19">
        <v>8.0000000000000002E-3</v>
      </c>
      <c r="P47" s="17">
        <f t="shared" si="1"/>
        <v>0.3783333333333333</v>
      </c>
    </row>
    <row r="48" spans="1:16" x14ac:dyDescent="0.4">
      <c r="A48" s="7">
        <v>47</v>
      </c>
      <c r="B48" s="10" t="s">
        <v>37</v>
      </c>
      <c r="C48" s="10" t="s">
        <v>39</v>
      </c>
      <c r="D48" s="10" t="s">
        <v>40</v>
      </c>
      <c r="E48" s="10" t="s">
        <v>16</v>
      </c>
      <c r="F48" s="10">
        <v>158</v>
      </c>
      <c r="G48" s="11">
        <v>575</v>
      </c>
      <c r="H48" s="11">
        <v>670</v>
      </c>
      <c r="I48" s="12">
        <f t="shared" si="2"/>
        <v>1.1652173913043478</v>
      </c>
      <c r="J48" s="16">
        <f>((95-80)/80)*100</f>
        <v>18.75</v>
      </c>
      <c r="K48" s="21">
        <v>0.2</v>
      </c>
      <c r="L48" s="21">
        <v>0.86</v>
      </c>
      <c r="M48" s="24">
        <v>0.214</v>
      </c>
      <c r="N48" s="21">
        <v>1.4999999999999999E-2</v>
      </c>
      <c r="O48" s="21">
        <v>1.6E-2</v>
      </c>
      <c r="P48" s="18">
        <f t="shared" si="1"/>
        <v>0.34333333333333338</v>
      </c>
    </row>
    <row r="49" spans="1:16" x14ac:dyDescent="0.4">
      <c r="A49" s="7">
        <v>48</v>
      </c>
      <c r="B49" s="10" t="s">
        <v>37</v>
      </c>
      <c r="C49" s="10" t="s">
        <v>39</v>
      </c>
      <c r="D49" s="10" t="s">
        <v>40</v>
      </c>
      <c r="E49" s="10" t="s">
        <v>17</v>
      </c>
      <c r="F49" s="10">
        <v>158</v>
      </c>
      <c r="G49" s="11">
        <v>603</v>
      </c>
      <c r="H49" s="11">
        <v>693</v>
      </c>
      <c r="I49" s="12">
        <f t="shared" si="2"/>
        <v>1.1492537313432836</v>
      </c>
      <c r="J49" s="16">
        <f>((93.4-80)/80)*100</f>
        <v>16.750000000000007</v>
      </c>
      <c r="K49" s="21">
        <v>0.21</v>
      </c>
      <c r="L49" s="21">
        <v>0.69</v>
      </c>
      <c r="M49" s="24">
        <v>0.157</v>
      </c>
      <c r="N49" s="21">
        <v>1.9E-2</v>
      </c>
      <c r="O49" s="21">
        <v>8.0000000000000002E-3</v>
      </c>
      <c r="P49" s="18">
        <f t="shared" si="1"/>
        <v>0.32499999999999996</v>
      </c>
    </row>
    <row r="50" spans="1:16" x14ac:dyDescent="0.4">
      <c r="A50" s="7">
        <v>49</v>
      </c>
      <c r="B50" s="10" t="s">
        <v>37</v>
      </c>
      <c r="C50" s="10" t="s">
        <v>39</v>
      </c>
      <c r="D50" s="10" t="s">
        <v>40</v>
      </c>
      <c r="E50" s="10" t="s">
        <v>70</v>
      </c>
      <c r="F50" s="10">
        <v>158</v>
      </c>
      <c r="G50" s="11">
        <v>611</v>
      </c>
      <c r="H50" s="11">
        <v>702</v>
      </c>
      <c r="I50" s="12">
        <f t="shared" si="2"/>
        <v>1.1489361702127661</v>
      </c>
      <c r="J50" s="16">
        <f>((96-80)/80)*100</f>
        <v>20</v>
      </c>
      <c r="K50" s="21">
        <v>0.18</v>
      </c>
      <c r="L50" s="21">
        <v>0.87</v>
      </c>
      <c r="M50" s="24">
        <v>0.20599999999999999</v>
      </c>
      <c r="N50" s="21">
        <v>1.4E-2</v>
      </c>
      <c r="O50" s="21">
        <v>1.2E-2</v>
      </c>
      <c r="P50" s="18">
        <f t="shared" si="1"/>
        <v>0.32499999999999996</v>
      </c>
    </row>
    <row r="51" spans="1:16" x14ac:dyDescent="0.4">
      <c r="A51" s="7">
        <v>50</v>
      </c>
      <c r="B51" s="10" t="s">
        <v>37</v>
      </c>
      <c r="C51" s="10" t="s">
        <v>39</v>
      </c>
      <c r="D51" s="10" t="s">
        <v>40</v>
      </c>
      <c r="E51" s="10" t="s">
        <v>72</v>
      </c>
      <c r="F51" s="10">
        <v>158</v>
      </c>
      <c r="G51" s="11">
        <v>573</v>
      </c>
      <c r="H51" s="11">
        <v>666</v>
      </c>
      <c r="I51" s="12">
        <f t="shared" si="2"/>
        <v>1.162303664921466</v>
      </c>
      <c r="J51" s="16">
        <f>((96-80)/80)*100</f>
        <v>20</v>
      </c>
      <c r="K51" s="21">
        <v>0.23</v>
      </c>
      <c r="L51" s="21">
        <v>0.85</v>
      </c>
      <c r="M51" s="24">
        <v>0.223</v>
      </c>
      <c r="N51" s="21">
        <v>1.4999999999999999E-2</v>
      </c>
      <c r="O51" s="21">
        <v>0.01</v>
      </c>
      <c r="P51" s="18">
        <f t="shared" si="1"/>
        <v>0.3716666666666667</v>
      </c>
    </row>
    <row r="52" spans="1:16" x14ac:dyDescent="0.4">
      <c r="A52" s="7">
        <v>51</v>
      </c>
      <c r="B52" s="7" t="s">
        <v>37</v>
      </c>
      <c r="C52" s="7" t="s">
        <v>44</v>
      </c>
      <c r="D52" s="7" t="s">
        <v>41</v>
      </c>
      <c r="E52" s="7" t="s">
        <v>15</v>
      </c>
      <c r="F52" s="7">
        <v>223</v>
      </c>
      <c r="G52" s="8">
        <v>565</v>
      </c>
      <c r="H52" s="8">
        <v>677</v>
      </c>
      <c r="I52" s="9">
        <f t="shared" si="2"/>
        <v>1.1982300884955752</v>
      </c>
      <c r="J52" s="15">
        <f>((96.3-80)/80)*100</f>
        <v>20.374999999999996</v>
      </c>
      <c r="K52" s="19">
        <v>0.22</v>
      </c>
      <c r="L52" s="19">
        <v>0.84</v>
      </c>
      <c r="M52" s="20">
        <v>0.216</v>
      </c>
      <c r="N52" s="19">
        <v>1.2999999999999999E-2</v>
      </c>
      <c r="O52" s="19">
        <v>8.9999999999999993E-3</v>
      </c>
      <c r="P52" s="17">
        <f t="shared" si="1"/>
        <v>0.36</v>
      </c>
    </row>
    <row r="53" spans="1:16" x14ac:dyDescent="0.4">
      <c r="A53" s="7">
        <v>52</v>
      </c>
      <c r="B53" s="7" t="s">
        <v>37</v>
      </c>
      <c r="C53" s="7" t="s">
        <v>44</v>
      </c>
      <c r="D53" s="7" t="s">
        <v>41</v>
      </c>
      <c r="E53" s="7" t="s">
        <v>60</v>
      </c>
      <c r="F53" s="7">
        <v>223</v>
      </c>
      <c r="G53" s="8">
        <v>557</v>
      </c>
      <c r="H53" s="8">
        <v>673</v>
      </c>
      <c r="I53" s="9">
        <f t="shared" si="2"/>
        <v>1.2082585278276481</v>
      </c>
      <c r="J53" s="15">
        <f>((96.8-80)/80)*100</f>
        <v>20.999999999999996</v>
      </c>
      <c r="K53" s="19">
        <v>0.2</v>
      </c>
      <c r="L53" s="19">
        <v>0.85</v>
      </c>
      <c r="M53" s="20">
        <v>0.20899999999999999</v>
      </c>
      <c r="N53" s="19">
        <v>1.4999999999999999E-2</v>
      </c>
      <c r="O53" s="19">
        <v>1.4E-2</v>
      </c>
      <c r="P53" s="17">
        <f t="shared" si="1"/>
        <v>0.34166666666666667</v>
      </c>
    </row>
    <row r="54" spans="1:16" x14ac:dyDescent="0.4">
      <c r="A54" s="7">
        <v>53</v>
      </c>
      <c r="B54" s="7" t="s">
        <v>37</v>
      </c>
      <c r="C54" s="7" t="s">
        <v>44</v>
      </c>
      <c r="D54" s="7" t="s">
        <v>41</v>
      </c>
      <c r="E54" s="7" t="s">
        <v>16</v>
      </c>
      <c r="F54" s="7">
        <v>223</v>
      </c>
      <c r="G54" s="8">
        <v>589</v>
      </c>
      <c r="H54" s="8">
        <v>697</v>
      </c>
      <c r="I54" s="9">
        <f t="shared" si="2"/>
        <v>1.1833616298811545</v>
      </c>
      <c r="J54" s="15">
        <f>((95.4-80)/80)*100</f>
        <v>19.250000000000007</v>
      </c>
      <c r="K54" s="19">
        <v>0.22</v>
      </c>
      <c r="L54" s="19">
        <v>0.84</v>
      </c>
      <c r="M54" s="20">
        <v>0.223</v>
      </c>
      <c r="N54" s="19">
        <v>1.4E-2</v>
      </c>
      <c r="O54" s="19">
        <v>0.01</v>
      </c>
      <c r="P54" s="17">
        <f t="shared" si="1"/>
        <v>0.36</v>
      </c>
    </row>
    <row r="55" spans="1:16" x14ac:dyDescent="0.4">
      <c r="A55" s="7">
        <v>54</v>
      </c>
      <c r="B55" s="7" t="s">
        <v>37</v>
      </c>
      <c r="C55" s="7" t="s">
        <v>44</v>
      </c>
      <c r="D55" s="7" t="s">
        <v>41</v>
      </c>
      <c r="E55" s="7" t="s">
        <v>17</v>
      </c>
      <c r="F55" s="7">
        <v>223</v>
      </c>
      <c r="G55" s="8">
        <v>590</v>
      </c>
      <c r="H55" s="8">
        <v>701</v>
      </c>
      <c r="I55" s="9">
        <f t="shared" si="2"/>
        <v>1.188135593220339</v>
      </c>
      <c r="J55" s="15">
        <f>((95.1-80)/80)*100</f>
        <v>18.874999999999993</v>
      </c>
      <c r="K55" s="19">
        <v>0.23</v>
      </c>
      <c r="L55" s="19">
        <v>0.84</v>
      </c>
      <c r="M55" s="20">
        <v>0.222</v>
      </c>
      <c r="N55" s="19">
        <v>1.4999999999999999E-2</v>
      </c>
      <c r="O55" s="19">
        <v>0.01</v>
      </c>
      <c r="P55" s="17">
        <f t="shared" si="1"/>
        <v>0.37</v>
      </c>
    </row>
    <row r="56" spans="1:16" x14ac:dyDescent="0.4">
      <c r="A56" s="7">
        <v>55</v>
      </c>
      <c r="B56" s="10" t="s">
        <v>37</v>
      </c>
      <c r="C56" s="10" t="s">
        <v>45</v>
      </c>
      <c r="D56" s="10" t="s">
        <v>41</v>
      </c>
      <c r="E56" s="10" t="s">
        <v>16</v>
      </c>
      <c r="F56" s="10">
        <v>224</v>
      </c>
      <c r="G56" s="11">
        <v>602</v>
      </c>
      <c r="H56" s="11">
        <v>709</v>
      </c>
      <c r="I56" s="12">
        <f t="shared" si="2"/>
        <v>1.1777408637873754</v>
      </c>
      <c r="J56" s="16">
        <f>((95.4-80)/80)*100</f>
        <v>19.250000000000007</v>
      </c>
      <c r="K56" s="21">
        <v>0.2</v>
      </c>
      <c r="L56" s="21">
        <v>0.83</v>
      </c>
      <c r="M56" s="24">
        <v>0.20399999999999999</v>
      </c>
      <c r="N56" s="21">
        <v>1.4999999999999999E-2</v>
      </c>
      <c r="O56" s="21">
        <v>1.4999999999999999E-2</v>
      </c>
      <c r="P56" s="18">
        <f t="shared" si="1"/>
        <v>0.33833333333333337</v>
      </c>
    </row>
    <row r="57" spans="1:16" x14ac:dyDescent="0.4">
      <c r="A57" s="7">
        <v>56</v>
      </c>
      <c r="B57" s="10" t="s">
        <v>37</v>
      </c>
      <c r="C57" s="10" t="s">
        <v>45</v>
      </c>
      <c r="D57" s="10" t="s">
        <v>41</v>
      </c>
      <c r="E57" s="10" t="s">
        <v>17</v>
      </c>
      <c r="F57" s="10">
        <v>224</v>
      </c>
      <c r="G57" s="11">
        <v>593</v>
      </c>
      <c r="H57" s="11">
        <v>702</v>
      </c>
      <c r="I57" s="12">
        <f t="shared" si="2"/>
        <v>1.1838111298482294</v>
      </c>
      <c r="J57" s="16">
        <f>((95.7-80)/80)*100</f>
        <v>19.625000000000004</v>
      </c>
      <c r="K57" s="21">
        <v>0.23</v>
      </c>
      <c r="L57" s="21">
        <v>0.85</v>
      </c>
      <c r="M57" s="24">
        <v>0.224</v>
      </c>
      <c r="N57" s="21">
        <v>1.4999999999999999E-2</v>
      </c>
      <c r="O57" s="21">
        <v>0.01</v>
      </c>
      <c r="P57" s="18">
        <f t="shared" si="1"/>
        <v>0.3716666666666667</v>
      </c>
    </row>
    <row r="58" spans="1:16" x14ac:dyDescent="0.4">
      <c r="A58" s="7">
        <v>57</v>
      </c>
      <c r="B58" s="10" t="s">
        <v>37</v>
      </c>
      <c r="C58" s="10" t="s">
        <v>45</v>
      </c>
      <c r="D58" s="10" t="s">
        <v>41</v>
      </c>
      <c r="E58" s="10" t="s">
        <v>70</v>
      </c>
      <c r="F58" s="10">
        <v>224</v>
      </c>
      <c r="G58" s="11">
        <v>563</v>
      </c>
      <c r="H58" s="11">
        <v>676</v>
      </c>
      <c r="I58" s="12">
        <f t="shared" si="2"/>
        <v>1.2007104795737122</v>
      </c>
      <c r="J58" s="16">
        <f>((97-80)/80)*100</f>
        <v>21.25</v>
      </c>
      <c r="K58" s="21">
        <v>0.2</v>
      </c>
      <c r="L58" s="21">
        <v>0.82</v>
      </c>
      <c r="M58" s="24">
        <v>0.21099999999999999</v>
      </c>
      <c r="N58" s="21">
        <v>2.3E-2</v>
      </c>
      <c r="O58" s="21">
        <v>1.6E-2</v>
      </c>
      <c r="P58" s="18">
        <f t="shared" si="1"/>
        <v>0.33666666666666667</v>
      </c>
    </row>
    <row r="59" spans="1:16" x14ac:dyDescent="0.4">
      <c r="A59" s="7">
        <v>58</v>
      </c>
      <c r="B59" s="10" t="s">
        <v>37</v>
      </c>
      <c r="C59" s="10" t="s">
        <v>45</v>
      </c>
      <c r="D59" s="10" t="s">
        <v>41</v>
      </c>
      <c r="E59" s="10" t="s">
        <v>72</v>
      </c>
      <c r="F59" s="10">
        <v>224</v>
      </c>
      <c r="G59" s="11">
        <v>567</v>
      </c>
      <c r="H59" s="11">
        <v>677</v>
      </c>
      <c r="I59" s="12">
        <f t="shared" si="2"/>
        <v>1.1940035273368608</v>
      </c>
      <c r="J59" s="16">
        <f>((96.3-80)/80)*100</f>
        <v>20.374999999999996</v>
      </c>
      <c r="K59" s="21">
        <v>0.22</v>
      </c>
      <c r="L59" s="21">
        <v>0.84</v>
      </c>
      <c r="M59" s="24">
        <v>0.216</v>
      </c>
      <c r="N59" s="21">
        <v>1.4999999999999999E-2</v>
      </c>
      <c r="O59" s="21">
        <v>0.01</v>
      </c>
      <c r="P59" s="18">
        <f t="shared" si="1"/>
        <v>0.36</v>
      </c>
    </row>
    <row r="60" spans="1:16" x14ac:dyDescent="0.4">
      <c r="A60" s="7">
        <v>59</v>
      </c>
      <c r="B60" s="7" t="s">
        <v>37</v>
      </c>
      <c r="C60" s="7" t="s">
        <v>46</v>
      </c>
      <c r="D60" s="7" t="s">
        <v>42</v>
      </c>
      <c r="E60" s="7" t="s">
        <v>15</v>
      </c>
      <c r="F60" s="7">
        <v>253</v>
      </c>
      <c r="G60" s="8">
        <v>597</v>
      </c>
      <c r="H60" s="8">
        <v>695</v>
      </c>
      <c r="I60" s="9">
        <f t="shared" si="2"/>
        <v>1.1641541038525962</v>
      </c>
      <c r="J60" s="15">
        <f>14.6/80*100</f>
        <v>18.25</v>
      </c>
      <c r="K60" s="19">
        <v>0.23</v>
      </c>
      <c r="L60" s="19">
        <v>0.79</v>
      </c>
      <c r="M60" s="20">
        <v>0.21199999999999999</v>
      </c>
      <c r="N60" s="19">
        <v>1.7000000000000001E-2</v>
      </c>
      <c r="O60" s="19">
        <v>1.4999999999999999E-2</v>
      </c>
      <c r="P60" s="17">
        <f t="shared" ref="P60:P115" si="3">K60+(L60/6)</f>
        <v>0.36166666666666669</v>
      </c>
    </row>
    <row r="61" spans="1:16" x14ac:dyDescent="0.4">
      <c r="A61" s="7">
        <v>60</v>
      </c>
      <c r="B61" s="7" t="s">
        <v>37</v>
      </c>
      <c r="C61" s="7" t="s">
        <v>46</v>
      </c>
      <c r="D61" s="7" t="s">
        <v>42</v>
      </c>
      <c r="E61" s="7" t="s">
        <v>60</v>
      </c>
      <c r="F61" s="7">
        <v>253</v>
      </c>
      <c r="G61" s="8">
        <v>590</v>
      </c>
      <c r="H61" s="8">
        <v>698</v>
      </c>
      <c r="I61" s="9">
        <f t="shared" si="2"/>
        <v>1.1830508474576271</v>
      </c>
      <c r="J61" s="15">
        <f>16.4/80*100</f>
        <v>20.5</v>
      </c>
      <c r="K61" s="19">
        <v>0.22</v>
      </c>
      <c r="L61" s="19">
        <v>0.86</v>
      </c>
      <c r="M61" s="20">
        <v>0.216</v>
      </c>
      <c r="N61" s="19">
        <v>0.03</v>
      </c>
      <c r="O61" s="19">
        <v>1.2999999999999999E-2</v>
      </c>
      <c r="P61" s="17">
        <f t="shared" si="3"/>
        <v>0.36333333333333334</v>
      </c>
    </row>
    <row r="62" spans="1:16" x14ac:dyDescent="0.4">
      <c r="A62" s="7">
        <v>61</v>
      </c>
      <c r="B62" s="7" t="s">
        <v>37</v>
      </c>
      <c r="C62" s="7" t="s">
        <v>46</v>
      </c>
      <c r="D62" s="7" t="s">
        <v>42</v>
      </c>
      <c r="E62" s="7" t="s">
        <v>16</v>
      </c>
      <c r="F62" s="7">
        <v>253</v>
      </c>
      <c r="G62" s="8">
        <v>593</v>
      </c>
      <c r="H62" s="8">
        <v>692</v>
      </c>
      <c r="I62" s="9">
        <f t="shared" si="2"/>
        <v>1.1669477234401349</v>
      </c>
      <c r="J62" s="15">
        <f>15.5/80*100</f>
        <v>19.375</v>
      </c>
      <c r="K62" s="19">
        <v>0.23</v>
      </c>
      <c r="L62" s="19">
        <v>0.84</v>
      </c>
      <c r="M62" s="20">
        <v>0.219</v>
      </c>
      <c r="N62" s="19">
        <v>3.1E-2</v>
      </c>
      <c r="O62" s="19">
        <v>1.6E-2</v>
      </c>
      <c r="P62" s="17">
        <f t="shared" si="3"/>
        <v>0.37</v>
      </c>
    </row>
    <row r="63" spans="1:16" x14ac:dyDescent="0.4">
      <c r="A63" s="7">
        <v>62</v>
      </c>
      <c r="B63" s="7" t="s">
        <v>37</v>
      </c>
      <c r="C63" s="7" t="s">
        <v>46</v>
      </c>
      <c r="D63" s="7" t="s">
        <v>42</v>
      </c>
      <c r="E63" s="7" t="s">
        <v>17</v>
      </c>
      <c r="F63" s="7">
        <v>253</v>
      </c>
      <c r="G63" s="8">
        <v>591</v>
      </c>
      <c r="H63" s="8">
        <v>700</v>
      </c>
      <c r="I63" s="9">
        <f t="shared" si="2"/>
        <v>1.1844331641285957</v>
      </c>
      <c r="J63" s="15">
        <f>19.7/80*100</f>
        <v>24.625</v>
      </c>
      <c r="K63" s="19">
        <v>0.23</v>
      </c>
      <c r="L63" s="19">
        <v>0.85</v>
      </c>
      <c r="M63" s="20">
        <v>0.22500000000000001</v>
      </c>
      <c r="N63" s="19">
        <v>3.1E-2</v>
      </c>
      <c r="O63" s="19">
        <v>1.6E-2</v>
      </c>
      <c r="P63" s="17">
        <f t="shared" si="3"/>
        <v>0.3716666666666667</v>
      </c>
    </row>
    <row r="64" spans="1:16" x14ac:dyDescent="0.4">
      <c r="A64" s="7">
        <v>63</v>
      </c>
      <c r="B64" s="7" t="s">
        <v>37</v>
      </c>
      <c r="C64" s="7" t="s">
        <v>47</v>
      </c>
      <c r="D64" s="7" t="s">
        <v>48</v>
      </c>
      <c r="E64" s="7" t="s">
        <v>15</v>
      </c>
      <c r="F64" s="7">
        <v>347</v>
      </c>
      <c r="G64" s="8">
        <v>608</v>
      </c>
      <c r="H64" s="8">
        <v>710</v>
      </c>
      <c r="I64" s="9">
        <f t="shared" si="2"/>
        <v>1.1677631578947369</v>
      </c>
      <c r="J64" s="15">
        <f>16.2/80*100</f>
        <v>20.25</v>
      </c>
      <c r="K64" s="19">
        <v>0.23</v>
      </c>
      <c r="L64" s="19">
        <v>0.84</v>
      </c>
      <c r="M64" s="20">
        <v>0.219</v>
      </c>
      <c r="N64" s="19">
        <v>0.01</v>
      </c>
      <c r="O64" s="19">
        <v>1.4E-2</v>
      </c>
      <c r="P64" s="17">
        <f t="shared" si="3"/>
        <v>0.37</v>
      </c>
    </row>
    <row r="65" spans="1:16" x14ac:dyDescent="0.4">
      <c r="A65" s="7">
        <v>64</v>
      </c>
      <c r="B65" s="7" t="s">
        <v>37</v>
      </c>
      <c r="C65" s="7" t="s">
        <v>47</v>
      </c>
      <c r="D65" s="7" t="s">
        <v>48</v>
      </c>
      <c r="E65" s="7" t="s">
        <v>60</v>
      </c>
      <c r="F65" s="7">
        <v>347</v>
      </c>
      <c r="G65" s="8">
        <v>599</v>
      </c>
      <c r="H65" s="8">
        <v>701</v>
      </c>
      <c r="I65" s="9">
        <f t="shared" si="2"/>
        <v>1.1702838063439065</v>
      </c>
      <c r="J65" s="15">
        <f>16.4/80*100</f>
        <v>20.5</v>
      </c>
      <c r="K65" s="19">
        <v>0.24</v>
      </c>
      <c r="L65" s="19">
        <v>0.84</v>
      </c>
      <c r="M65" s="20">
        <v>0.23200000000000001</v>
      </c>
      <c r="N65" s="19">
        <v>1.0999999999999999E-2</v>
      </c>
      <c r="O65" s="19">
        <v>1.4999999999999999E-2</v>
      </c>
      <c r="P65" s="17">
        <f t="shared" si="3"/>
        <v>0.38</v>
      </c>
    </row>
    <row r="66" spans="1:16" x14ac:dyDescent="0.4">
      <c r="A66" s="7">
        <v>65</v>
      </c>
      <c r="B66" s="7" t="s">
        <v>37</v>
      </c>
      <c r="C66" s="7" t="s">
        <v>47</v>
      </c>
      <c r="D66" s="7" t="s">
        <v>48</v>
      </c>
      <c r="E66" s="7" t="s">
        <v>16</v>
      </c>
      <c r="F66" s="7">
        <v>347</v>
      </c>
      <c r="G66" s="8">
        <v>616</v>
      </c>
      <c r="H66" s="8">
        <v>720</v>
      </c>
      <c r="I66" s="9">
        <f t="shared" si="2"/>
        <v>1.1688311688311688</v>
      </c>
      <c r="J66" s="15">
        <f>14.1/80*100</f>
        <v>17.625</v>
      </c>
      <c r="K66" s="19">
        <v>0.23</v>
      </c>
      <c r="L66" s="19">
        <v>0.85</v>
      </c>
      <c r="M66" s="20">
        <v>0.23100000000000001</v>
      </c>
      <c r="N66" s="19">
        <v>1.2E-2</v>
      </c>
      <c r="O66" s="19">
        <v>1.4999999999999999E-2</v>
      </c>
      <c r="P66" s="17">
        <f t="shared" si="3"/>
        <v>0.3716666666666667</v>
      </c>
    </row>
    <row r="67" spans="1:16" x14ac:dyDescent="0.4">
      <c r="A67" s="7">
        <v>66</v>
      </c>
      <c r="B67" s="7" t="s">
        <v>37</v>
      </c>
      <c r="C67" s="7" t="s">
        <v>47</v>
      </c>
      <c r="D67" s="7" t="s">
        <v>48</v>
      </c>
      <c r="E67" s="7" t="s">
        <v>17</v>
      </c>
      <c r="F67" s="7">
        <v>347</v>
      </c>
      <c r="G67" s="8">
        <v>614</v>
      </c>
      <c r="H67" s="8">
        <v>717</v>
      </c>
      <c r="I67" s="9">
        <f t="shared" si="2"/>
        <v>1.1677524429967427</v>
      </c>
      <c r="J67" s="15">
        <v>18</v>
      </c>
      <c r="K67" s="19">
        <v>0.23</v>
      </c>
      <c r="L67" s="19">
        <v>0.85</v>
      </c>
      <c r="M67" s="20">
        <v>0.22600000000000001</v>
      </c>
      <c r="N67" s="19">
        <v>0.01</v>
      </c>
      <c r="O67" s="19">
        <v>1.4E-2</v>
      </c>
      <c r="P67" s="17">
        <f t="shared" si="3"/>
        <v>0.3716666666666667</v>
      </c>
    </row>
    <row r="68" spans="1:16" x14ac:dyDescent="0.4">
      <c r="A68" s="10">
        <v>67</v>
      </c>
      <c r="B68" s="10" t="s">
        <v>37</v>
      </c>
      <c r="C68" s="10" t="s">
        <v>49</v>
      </c>
      <c r="D68" s="10" t="s">
        <v>48</v>
      </c>
      <c r="E68" s="10" t="s">
        <v>16</v>
      </c>
      <c r="F68" s="10">
        <v>348</v>
      </c>
      <c r="G68" s="11">
        <v>605</v>
      </c>
      <c r="H68" s="11">
        <v>711</v>
      </c>
      <c r="I68" s="12">
        <f t="shared" si="2"/>
        <v>1.175206611570248</v>
      </c>
      <c r="J68" s="16">
        <f>14.6/80*100</f>
        <v>18.25</v>
      </c>
      <c r="K68" s="21">
        <v>0.22</v>
      </c>
      <c r="L68" s="21">
        <v>0.86</v>
      </c>
      <c r="M68" s="24">
        <v>0.221</v>
      </c>
      <c r="N68" s="21">
        <v>1.7000000000000001E-2</v>
      </c>
      <c r="O68" s="21">
        <v>1.2E-2</v>
      </c>
      <c r="P68" s="18">
        <f t="shared" si="3"/>
        <v>0.36333333333333334</v>
      </c>
    </row>
    <row r="69" spans="1:16" x14ac:dyDescent="0.4">
      <c r="A69" s="10">
        <v>68</v>
      </c>
      <c r="B69" s="10" t="s">
        <v>37</v>
      </c>
      <c r="C69" s="10" t="s">
        <v>49</v>
      </c>
      <c r="D69" s="10" t="s">
        <v>48</v>
      </c>
      <c r="E69" s="10" t="s">
        <v>17</v>
      </c>
      <c r="F69" s="10">
        <v>348</v>
      </c>
      <c r="G69" s="11">
        <v>606</v>
      </c>
      <c r="H69" s="11">
        <v>709</v>
      </c>
      <c r="I69" s="12">
        <f t="shared" si="2"/>
        <v>1.16996699669967</v>
      </c>
      <c r="J69" s="16">
        <f>14/80*100</f>
        <v>17.5</v>
      </c>
      <c r="K69" s="21">
        <v>0.23</v>
      </c>
      <c r="L69" s="21">
        <v>0.85</v>
      </c>
      <c r="M69" s="24">
        <v>0.22700000000000001</v>
      </c>
      <c r="N69" s="21">
        <v>1.4999999999999999E-2</v>
      </c>
      <c r="O69" s="21">
        <v>1.4999999999999999E-2</v>
      </c>
      <c r="P69" s="18">
        <f t="shared" si="3"/>
        <v>0.3716666666666667</v>
      </c>
    </row>
    <row r="70" spans="1:16" x14ac:dyDescent="0.4">
      <c r="A70" s="10">
        <v>69</v>
      </c>
      <c r="B70" s="10" t="s">
        <v>37</v>
      </c>
      <c r="C70" s="10" t="s">
        <v>49</v>
      </c>
      <c r="D70" s="10" t="s">
        <v>48</v>
      </c>
      <c r="E70" s="10" t="s">
        <v>70</v>
      </c>
      <c r="F70" s="10">
        <v>348</v>
      </c>
      <c r="G70" s="11">
        <v>596</v>
      </c>
      <c r="H70" s="11">
        <v>698</v>
      </c>
      <c r="I70" s="12">
        <f t="shared" si="2"/>
        <v>1.1711409395973154</v>
      </c>
      <c r="J70" s="16">
        <f>13.5/80*100</f>
        <v>16.875</v>
      </c>
      <c r="K70" s="21">
        <v>0.21</v>
      </c>
      <c r="L70" s="21">
        <v>0.76</v>
      </c>
      <c r="M70" s="24">
        <v>0.20699999999999999</v>
      </c>
      <c r="N70" s="21">
        <v>2.9000000000000001E-2</v>
      </c>
      <c r="O70" s="21">
        <v>1.0999999999999999E-2</v>
      </c>
      <c r="P70" s="18">
        <f t="shared" si="3"/>
        <v>0.33666666666666667</v>
      </c>
    </row>
    <row r="71" spans="1:16" x14ac:dyDescent="0.4">
      <c r="A71" s="10">
        <v>70</v>
      </c>
      <c r="B71" s="10" t="s">
        <v>37</v>
      </c>
      <c r="C71" s="10" t="s">
        <v>49</v>
      </c>
      <c r="D71" s="10" t="s">
        <v>48</v>
      </c>
      <c r="E71" s="10" t="s">
        <v>71</v>
      </c>
      <c r="F71" s="10">
        <v>348</v>
      </c>
      <c r="G71" s="11">
        <v>589</v>
      </c>
      <c r="H71" s="11">
        <v>694</v>
      </c>
      <c r="I71" s="12">
        <f t="shared" si="2"/>
        <v>1.1782682512733447</v>
      </c>
      <c r="J71" s="16">
        <f>15.9/80*100</f>
        <v>19.875</v>
      </c>
      <c r="K71" s="21">
        <v>0.23</v>
      </c>
      <c r="L71" s="21">
        <v>0.8</v>
      </c>
      <c r="M71" s="24">
        <v>0.22500000000000001</v>
      </c>
      <c r="N71" s="21">
        <v>8.9999999999999993E-3</v>
      </c>
      <c r="O71" s="21">
        <v>1.7999999999999999E-2</v>
      </c>
      <c r="P71" s="18">
        <f t="shared" si="3"/>
        <v>0.36333333333333334</v>
      </c>
    </row>
    <row r="72" spans="1:16" x14ac:dyDescent="0.4">
      <c r="A72" s="7">
        <v>71</v>
      </c>
      <c r="B72" s="7" t="s">
        <v>37</v>
      </c>
      <c r="C72" s="7" t="s">
        <v>50</v>
      </c>
      <c r="D72" s="7" t="s">
        <v>51</v>
      </c>
      <c r="E72" s="7" t="s">
        <v>15</v>
      </c>
      <c r="F72" s="7">
        <v>546</v>
      </c>
      <c r="G72" s="8">
        <v>598</v>
      </c>
      <c r="H72" s="8">
        <v>701</v>
      </c>
      <c r="I72" s="9">
        <f t="shared" si="2"/>
        <v>1.1722408026755853</v>
      </c>
      <c r="J72" s="15">
        <v>21</v>
      </c>
      <c r="K72" s="19">
        <v>0.24</v>
      </c>
      <c r="L72" s="19">
        <v>0.85</v>
      </c>
      <c r="M72" s="20">
        <v>0.223</v>
      </c>
      <c r="N72" s="19">
        <v>1.9E-2</v>
      </c>
      <c r="O72" s="19">
        <v>1.2999999999999999E-2</v>
      </c>
      <c r="P72" s="17">
        <f t="shared" si="3"/>
        <v>0.38166666666666665</v>
      </c>
    </row>
    <row r="73" spans="1:16" x14ac:dyDescent="0.4">
      <c r="A73" s="7">
        <v>72</v>
      </c>
      <c r="B73" s="7" t="s">
        <v>37</v>
      </c>
      <c r="C73" s="7" t="s">
        <v>50</v>
      </c>
      <c r="D73" s="7" t="s">
        <v>51</v>
      </c>
      <c r="E73" s="7" t="s">
        <v>60</v>
      </c>
      <c r="F73" s="7">
        <v>546</v>
      </c>
      <c r="G73" s="8">
        <v>601</v>
      </c>
      <c r="H73" s="8">
        <v>705</v>
      </c>
      <c r="I73" s="9">
        <f t="shared" si="2"/>
        <v>1.1730449251247921</v>
      </c>
      <c r="J73" s="15">
        <f>16.4/80*100</f>
        <v>20.5</v>
      </c>
      <c r="K73" s="19">
        <v>0.23</v>
      </c>
      <c r="L73" s="19">
        <v>0.85</v>
      </c>
      <c r="M73" s="20">
        <v>0.20100000000000001</v>
      </c>
      <c r="N73" s="19">
        <v>1.7000000000000001E-2</v>
      </c>
      <c r="O73" s="19">
        <v>0.02</v>
      </c>
      <c r="P73" s="17">
        <f t="shared" si="3"/>
        <v>0.3716666666666667</v>
      </c>
    </row>
    <row r="74" spans="1:16" x14ac:dyDescent="0.4">
      <c r="A74" s="7">
        <v>73</v>
      </c>
      <c r="B74" s="7" t="s">
        <v>37</v>
      </c>
      <c r="C74" s="7" t="s">
        <v>50</v>
      </c>
      <c r="D74" s="7" t="s">
        <v>51</v>
      </c>
      <c r="E74" s="7" t="s">
        <v>16</v>
      </c>
      <c r="F74" s="7">
        <v>546</v>
      </c>
      <c r="G74" s="8">
        <v>612</v>
      </c>
      <c r="H74" s="8">
        <v>712</v>
      </c>
      <c r="I74" s="9">
        <f t="shared" si="2"/>
        <v>1.1633986928104576</v>
      </c>
      <c r="J74" s="15">
        <f>17.8/80*100</f>
        <v>22.25</v>
      </c>
      <c r="K74" s="19">
        <v>0.22</v>
      </c>
      <c r="L74" s="19">
        <v>0.86</v>
      </c>
      <c r="M74" s="20">
        <v>0.20499999999999999</v>
      </c>
      <c r="N74" s="19">
        <v>1.7000000000000001E-2</v>
      </c>
      <c r="O74" s="19">
        <v>1.9E-2</v>
      </c>
      <c r="P74" s="17">
        <f t="shared" si="3"/>
        <v>0.36333333333333334</v>
      </c>
    </row>
    <row r="75" spans="1:16" x14ac:dyDescent="0.4">
      <c r="A75" s="7">
        <v>74</v>
      </c>
      <c r="B75" s="7" t="s">
        <v>37</v>
      </c>
      <c r="C75" s="7" t="s">
        <v>50</v>
      </c>
      <c r="D75" s="7" t="s">
        <v>51</v>
      </c>
      <c r="E75" s="7" t="s">
        <v>17</v>
      </c>
      <c r="F75" s="7">
        <v>546</v>
      </c>
      <c r="G75" s="8">
        <v>613</v>
      </c>
      <c r="H75" s="8">
        <v>713</v>
      </c>
      <c r="I75" s="9">
        <f t="shared" si="2"/>
        <v>1.1631321370309951</v>
      </c>
      <c r="J75" s="15">
        <f>15/80*100</f>
        <v>18.75</v>
      </c>
      <c r="K75" s="19">
        <v>0.22</v>
      </c>
      <c r="L75" s="19">
        <v>0.87</v>
      </c>
      <c r="M75" s="20">
        <v>0.21299999999999999</v>
      </c>
      <c r="N75" s="19">
        <v>1.0999999999999999E-2</v>
      </c>
      <c r="O75" s="19">
        <v>0.02</v>
      </c>
      <c r="P75" s="17">
        <f t="shared" si="3"/>
        <v>0.36499999999999999</v>
      </c>
    </row>
    <row r="76" spans="1:16" x14ac:dyDescent="0.4">
      <c r="A76" s="10">
        <v>75</v>
      </c>
      <c r="B76" s="10" t="s">
        <v>37</v>
      </c>
      <c r="C76" s="10" t="s">
        <v>52</v>
      </c>
      <c r="D76" s="10" t="s">
        <v>51</v>
      </c>
      <c r="E76" s="10" t="s">
        <v>16</v>
      </c>
      <c r="F76" s="10">
        <v>547</v>
      </c>
      <c r="G76" s="11">
        <v>610</v>
      </c>
      <c r="H76" s="11">
        <v>715</v>
      </c>
      <c r="I76" s="12">
        <f t="shared" si="2"/>
        <v>1.1721311475409837</v>
      </c>
      <c r="J76" s="16">
        <f>15.8/80*100</f>
        <v>19.75</v>
      </c>
      <c r="K76" s="21">
        <v>0.23</v>
      </c>
      <c r="L76" s="21">
        <v>0.85</v>
      </c>
      <c r="M76" s="24">
        <v>0.20599999999999999</v>
      </c>
      <c r="N76" s="21">
        <v>1.7000000000000001E-2</v>
      </c>
      <c r="O76" s="21">
        <v>0.02</v>
      </c>
      <c r="P76" s="18">
        <f t="shared" si="3"/>
        <v>0.3716666666666667</v>
      </c>
    </row>
    <row r="77" spans="1:16" x14ac:dyDescent="0.4">
      <c r="A77" s="10">
        <v>76</v>
      </c>
      <c r="B77" s="10" t="s">
        <v>37</v>
      </c>
      <c r="C77" s="10" t="s">
        <v>52</v>
      </c>
      <c r="D77" s="10" t="s">
        <v>51</v>
      </c>
      <c r="E77" s="10" t="s">
        <v>17</v>
      </c>
      <c r="F77" s="10">
        <v>547</v>
      </c>
      <c r="G77" s="11">
        <v>606</v>
      </c>
      <c r="H77" s="11">
        <v>711</v>
      </c>
      <c r="I77" s="12">
        <f t="shared" si="2"/>
        <v>1.1732673267326732</v>
      </c>
      <c r="J77" s="16">
        <f>15.4/80*100</f>
        <v>19.25</v>
      </c>
      <c r="K77" s="21">
        <v>0.22</v>
      </c>
      <c r="L77" s="21">
        <v>0.83</v>
      </c>
      <c r="M77" s="24">
        <v>0.20300000000000001</v>
      </c>
      <c r="N77" s="21">
        <v>0.01</v>
      </c>
      <c r="O77" s="21">
        <v>2.1000000000000001E-2</v>
      </c>
      <c r="P77" s="18">
        <f t="shared" si="3"/>
        <v>0.35833333333333334</v>
      </c>
    </row>
    <row r="78" spans="1:16" x14ac:dyDescent="0.4">
      <c r="A78" s="10">
        <v>77</v>
      </c>
      <c r="B78" s="10" t="s">
        <v>37</v>
      </c>
      <c r="C78" s="10" t="s">
        <v>52</v>
      </c>
      <c r="D78" s="10" t="s">
        <v>51</v>
      </c>
      <c r="E78" s="10" t="s">
        <v>70</v>
      </c>
      <c r="F78" s="10">
        <v>547</v>
      </c>
      <c r="G78" s="11">
        <v>595</v>
      </c>
      <c r="H78" s="11">
        <v>702</v>
      </c>
      <c r="I78" s="12">
        <f t="shared" si="2"/>
        <v>1.1798319327731093</v>
      </c>
      <c r="J78" s="16">
        <f>16.2/80*100</f>
        <v>20.25</v>
      </c>
      <c r="K78" s="21">
        <v>0.23</v>
      </c>
      <c r="L78" s="21">
        <v>0.84</v>
      </c>
      <c r="M78" s="24">
        <v>0.20799999999999999</v>
      </c>
      <c r="N78" s="21">
        <v>1.7000000000000001E-2</v>
      </c>
      <c r="O78" s="21">
        <v>2.1999999999999999E-2</v>
      </c>
      <c r="P78" s="18">
        <f t="shared" si="3"/>
        <v>0.37</v>
      </c>
    </row>
    <row r="79" spans="1:16" x14ac:dyDescent="0.4">
      <c r="A79" s="10">
        <v>78</v>
      </c>
      <c r="B79" s="10" t="s">
        <v>37</v>
      </c>
      <c r="C79" s="10" t="s">
        <v>52</v>
      </c>
      <c r="D79" s="10" t="s">
        <v>51</v>
      </c>
      <c r="E79" s="10" t="s">
        <v>71</v>
      </c>
      <c r="F79" s="10">
        <v>547</v>
      </c>
      <c r="G79" s="11">
        <v>592</v>
      </c>
      <c r="H79" s="11">
        <v>697</v>
      </c>
      <c r="I79" s="12">
        <f t="shared" si="2"/>
        <v>1.1773648648648649</v>
      </c>
      <c r="J79" s="16">
        <v>20</v>
      </c>
      <c r="K79" s="21">
        <v>0.23</v>
      </c>
      <c r="L79" s="21">
        <v>0.86</v>
      </c>
      <c r="M79" s="24">
        <v>0.21099999999999999</v>
      </c>
      <c r="N79" s="21">
        <v>1.7000000000000001E-2</v>
      </c>
      <c r="O79" s="21">
        <v>0.02</v>
      </c>
      <c r="P79" s="18">
        <f t="shared" si="3"/>
        <v>0.37333333333333335</v>
      </c>
    </row>
    <row r="80" spans="1:16" x14ac:dyDescent="0.4">
      <c r="A80" s="7">
        <v>79</v>
      </c>
      <c r="B80" s="7" t="s">
        <v>53</v>
      </c>
      <c r="C80" s="7" t="s">
        <v>55</v>
      </c>
      <c r="D80" s="7" t="s">
        <v>54</v>
      </c>
      <c r="E80" s="7" t="s">
        <v>16</v>
      </c>
      <c r="F80" s="7">
        <v>186</v>
      </c>
      <c r="G80" s="8">
        <v>589</v>
      </c>
      <c r="H80" s="8">
        <v>678</v>
      </c>
      <c r="I80" s="9">
        <f>H80/G80</f>
        <v>1.1511035653650254</v>
      </c>
      <c r="J80" s="15">
        <f>((95.2-80)/80)*100</f>
        <v>19.000000000000004</v>
      </c>
      <c r="K80" s="19">
        <v>0.2</v>
      </c>
      <c r="L80" s="19">
        <v>0.82</v>
      </c>
      <c r="M80" s="20">
        <v>0.19900000000000001</v>
      </c>
      <c r="N80" s="19">
        <v>2.4E-2</v>
      </c>
      <c r="O80" s="19">
        <v>1.2999999999999999E-2</v>
      </c>
      <c r="P80" s="17">
        <f t="shared" si="3"/>
        <v>0.33666666666666667</v>
      </c>
    </row>
    <row r="81" spans="1:16" x14ac:dyDescent="0.4">
      <c r="A81" s="7">
        <v>80</v>
      </c>
      <c r="B81" s="7" t="s">
        <v>53</v>
      </c>
      <c r="C81" s="7" t="s">
        <v>55</v>
      </c>
      <c r="D81" s="7" t="s">
        <v>54</v>
      </c>
      <c r="E81" s="7" t="s">
        <v>17</v>
      </c>
      <c r="F81" s="7">
        <v>186</v>
      </c>
      <c r="G81" s="8">
        <v>590</v>
      </c>
      <c r="H81" s="8">
        <v>679</v>
      </c>
      <c r="I81" s="9">
        <f t="shared" ref="I81:I127" si="4">H81/G81</f>
        <v>1.1508474576271186</v>
      </c>
      <c r="J81" s="15">
        <f>((95.6-80)/80)*100</f>
        <v>19.499999999999993</v>
      </c>
      <c r="K81" s="19">
        <v>0.2</v>
      </c>
      <c r="L81" s="19">
        <v>0.68</v>
      </c>
      <c r="M81" s="20">
        <v>0.151</v>
      </c>
      <c r="N81" s="19">
        <v>2.7E-2</v>
      </c>
      <c r="O81" s="19">
        <v>1.7000000000000001E-2</v>
      </c>
      <c r="P81" s="17">
        <f t="shared" si="3"/>
        <v>0.31333333333333335</v>
      </c>
    </row>
    <row r="82" spans="1:16" x14ac:dyDescent="0.4">
      <c r="A82" s="7">
        <v>81</v>
      </c>
      <c r="B82" s="7" t="s">
        <v>53</v>
      </c>
      <c r="C82" s="7" t="s">
        <v>55</v>
      </c>
      <c r="D82" s="7" t="s">
        <v>54</v>
      </c>
      <c r="E82" s="7" t="s">
        <v>70</v>
      </c>
      <c r="F82" s="7">
        <v>186</v>
      </c>
      <c r="G82" s="8">
        <v>581</v>
      </c>
      <c r="H82" s="8">
        <v>674</v>
      </c>
      <c r="I82" s="9">
        <f t="shared" si="4"/>
        <v>1.1600688468158347</v>
      </c>
      <c r="J82" s="15">
        <f>((95.9-80)/80)*100</f>
        <v>19.875000000000007</v>
      </c>
      <c r="K82" s="19">
        <v>0.23</v>
      </c>
      <c r="L82" s="19">
        <v>0.86</v>
      </c>
      <c r="M82" s="20">
        <v>0.218</v>
      </c>
      <c r="N82" s="19">
        <v>1.2999999999999999E-2</v>
      </c>
      <c r="O82" s="19">
        <v>1.6E-2</v>
      </c>
      <c r="P82" s="17">
        <f t="shared" si="3"/>
        <v>0.37333333333333335</v>
      </c>
    </row>
    <row r="83" spans="1:16" x14ac:dyDescent="0.4">
      <c r="A83" s="7">
        <v>82</v>
      </c>
      <c r="B83" s="7" t="s">
        <v>53</v>
      </c>
      <c r="C83" s="7" t="s">
        <v>55</v>
      </c>
      <c r="D83" s="7" t="s">
        <v>54</v>
      </c>
      <c r="E83" s="7" t="s">
        <v>72</v>
      </c>
      <c r="F83" s="7">
        <v>186</v>
      </c>
      <c r="G83" s="8">
        <v>577</v>
      </c>
      <c r="H83" s="8">
        <v>666</v>
      </c>
      <c r="I83" s="9">
        <f t="shared" si="4"/>
        <v>1.1542461005199307</v>
      </c>
      <c r="J83" s="15">
        <f>((98.1-80)/80)*100</f>
        <v>22.624999999999993</v>
      </c>
      <c r="K83" s="19">
        <v>0.2</v>
      </c>
      <c r="L83" s="19">
        <v>0.85</v>
      </c>
      <c r="M83" s="20">
        <v>0.21099999999999999</v>
      </c>
      <c r="N83" s="19">
        <v>2.4E-2</v>
      </c>
      <c r="O83" s="19">
        <v>1.2999999999999999E-2</v>
      </c>
      <c r="P83" s="17">
        <f t="shared" si="3"/>
        <v>0.34166666666666667</v>
      </c>
    </row>
    <row r="84" spans="1:16" x14ac:dyDescent="0.4">
      <c r="A84" s="10">
        <v>83</v>
      </c>
      <c r="B84" s="10" t="s">
        <v>53</v>
      </c>
      <c r="C84" s="10" t="s">
        <v>56</v>
      </c>
      <c r="D84" s="10" t="s">
        <v>54</v>
      </c>
      <c r="E84" s="10" t="s">
        <v>15</v>
      </c>
      <c r="F84" s="10">
        <v>223</v>
      </c>
      <c r="G84" s="11">
        <v>565</v>
      </c>
      <c r="H84" s="11">
        <v>685</v>
      </c>
      <c r="I84" s="12">
        <f t="shared" si="4"/>
        <v>1.2123893805309736</v>
      </c>
      <c r="J84" s="16">
        <f>((96.7-80)/80)*100</f>
        <v>20.875000000000004</v>
      </c>
      <c r="K84" s="21">
        <v>0.25</v>
      </c>
      <c r="L84" s="21">
        <v>0.81</v>
      </c>
      <c r="M84" s="24">
        <v>0.22</v>
      </c>
      <c r="N84" s="21">
        <v>0.01</v>
      </c>
      <c r="O84" s="21">
        <v>2.1999999999999999E-2</v>
      </c>
      <c r="P84" s="18">
        <f t="shared" si="3"/>
        <v>0.38500000000000001</v>
      </c>
    </row>
    <row r="85" spans="1:16" x14ac:dyDescent="0.4">
      <c r="A85" s="10">
        <v>84</v>
      </c>
      <c r="B85" s="10" t="s">
        <v>53</v>
      </c>
      <c r="C85" s="10" t="s">
        <v>56</v>
      </c>
      <c r="D85" s="10" t="s">
        <v>54</v>
      </c>
      <c r="E85" s="10" t="s">
        <v>60</v>
      </c>
      <c r="F85" s="10">
        <v>223</v>
      </c>
      <c r="G85" s="11">
        <v>574</v>
      </c>
      <c r="H85" s="11">
        <v>691</v>
      </c>
      <c r="I85" s="12">
        <f t="shared" si="4"/>
        <v>1.2038327526132404</v>
      </c>
      <c r="J85" s="16">
        <f>((97.6-80)/80)*100</f>
        <v>21.999999999999993</v>
      </c>
      <c r="K85" s="21">
        <v>0.23</v>
      </c>
      <c r="L85" s="21">
        <v>0.83</v>
      </c>
      <c r="M85" s="24">
        <v>0.22800000000000001</v>
      </c>
      <c r="N85" s="21">
        <v>1.4E-2</v>
      </c>
      <c r="O85" s="21">
        <v>1.7000000000000001E-2</v>
      </c>
      <c r="P85" s="18">
        <f t="shared" si="3"/>
        <v>0.36833333333333335</v>
      </c>
    </row>
    <row r="86" spans="1:16" x14ac:dyDescent="0.4">
      <c r="A86" s="10">
        <v>85</v>
      </c>
      <c r="B86" s="10" t="s">
        <v>53</v>
      </c>
      <c r="C86" s="10" t="s">
        <v>56</v>
      </c>
      <c r="D86" s="10" t="s">
        <v>54</v>
      </c>
      <c r="E86" s="10" t="s">
        <v>16</v>
      </c>
      <c r="F86" s="10">
        <v>223</v>
      </c>
      <c r="G86" s="11">
        <v>588</v>
      </c>
      <c r="H86" s="11">
        <v>705</v>
      </c>
      <c r="I86" s="12">
        <f t="shared" si="4"/>
        <v>1.1989795918367347</v>
      </c>
      <c r="J86" s="16">
        <v>21</v>
      </c>
      <c r="K86" s="21">
        <v>0.24</v>
      </c>
      <c r="L86" s="21">
        <v>0.82</v>
      </c>
      <c r="M86" s="24">
        <v>0.23400000000000001</v>
      </c>
      <c r="N86" s="21">
        <v>1.4999999999999999E-2</v>
      </c>
      <c r="O86" s="21">
        <v>2.1000000000000001E-2</v>
      </c>
      <c r="P86" s="18">
        <f t="shared" si="3"/>
        <v>0.37666666666666665</v>
      </c>
    </row>
    <row r="87" spans="1:16" x14ac:dyDescent="0.4">
      <c r="A87" s="10">
        <v>86</v>
      </c>
      <c r="B87" s="10" t="s">
        <v>53</v>
      </c>
      <c r="C87" s="10" t="s">
        <v>56</v>
      </c>
      <c r="D87" s="10" t="s">
        <v>54</v>
      </c>
      <c r="E87" s="10" t="s">
        <v>43</v>
      </c>
      <c r="F87" s="10">
        <v>223</v>
      </c>
      <c r="G87" s="11">
        <v>584</v>
      </c>
      <c r="H87" s="11">
        <v>702</v>
      </c>
      <c r="I87" s="12">
        <f t="shared" si="4"/>
        <v>1.202054794520548</v>
      </c>
      <c r="J87" s="16">
        <f>((94.2-80)/80)*100</f>
        <v>17.750000000000004</v>
      </c>
      <c r="K87" s="21">
        <v>0.25</v>
      </c>
      <c r="L87" s="21">
        <v>0.85</v>
      </c>
      <c r="M87" s="24">
        <v>0.22900000000000001</v>
      </c>
      <c r="N87" s="21">
        <v>1.4E-2</v>
      </c>
      <c r="O87" s="21">
        <v>2.1999999999999999E-2</v>
      </c>
      <c r="P87" s="18">
        <f t="shared" si="3"/>
        <v>0.39166666666666666</v>
      </c>
    </row>
    <row r="88" spans="1:16" x14ac:dyDescent="0.4">
      <c r="A88" s="7">
        <v>87</v>
      </c>
      <c r="B88" s="7" t="s">
        <v>53</v>
      </c>
      <c r="C88" s="7" t="s">
        <v>57</v>
      </c>
      <c r="D88" s="7" t="s">
        <v>54</v>
      </c>
      <c r="E88" s="7" t="s">
        <v>16</v>
      </c>
      <c r="F88" s="7">
        <v>296</v>
      </c>
      <c r="G88" s="8">
        <v>576</v>
      </c>
      <c r="H88" s="8">
        <v>672</v>
      </c>
      <c r="I88" s="9">
        <f t="shared" si="4"/>
        <v>1.1666666666666667</v>
      </c>
      <c r="J88" s="15">
        <f>((97.4-80)/80)*100</f>
        <v>21.750000000000007</v>
      </c>
      <c r="K88" s="19">
        <v>0.23</v>
      </c>
      <c r="L88" s="19">
        <v>0.86</v>
      </c>
      <c r="M88" s="20">
        <v>0.219</v>
      </c>
      <c r="N88" s="19">
        <v>1.2999999999999999E-2</v>
      </c>
      <c r="O88" s="19">
        <v>2.1000000000000001E-2</v>
      </c>
      <c r="P88" s="17">
        <f>K88+(L88/6)</f>
        <v>0.37333333333333335</v>
      </c>
    </row>
    <row r="89" spans="1:16" x14ac:dyDescent="0.4">
      <c r="A89" s="7">
        <v>88</v>
      </c>
      <c r="B89" s="7" t="s">
        <v>53</v>
      </c>
      <c r="C89" s="7" t="s">
        <v>57</v>
      </c>
      <c r="D89" s="7" t="s">
        <v>54</v>
      </c>
      <c r="E89" s="7" t="s">
        <v>17</v>
      </c>
      <c r="F89" s="7">
        <v>296</v>
      </c>
      <c r="G89" s="8">
        <v>585</v>
      </c>
      <c r="H89" s="8">
        <v>698</v>
      </c>
      <c r="I89" s="9">
        <f t="shared" si="4"/>
        <v>1.1931623931623931</v>
      </c>
      <c r="J89" s="15">
        <f>((94.1-80)/80)*100</f>
        <v>17.624999999999993</v>
      </c>
      <c r="K89" s="19">
        <v>0.25</v>
      </c>
      <c r="L89" s="19">
        <v>0.87</v>
      </c>
      <c r="M89" s="20">
        <v>0.22500000000000001</v>
      </c>
      <c r="N89" s="19">
        <v>1.7000000000000001E-2</v>
      </c>
      <c r="O89" s="19">
        <v>1.7999999999999999E-2</v>
      </c>
      <c r="P89" s="17">
        <f t="shared" si="3"/>
        <v>0.39500000000000002</v>
      </c>
    </row>
    <row r="90" spans="1:16" x14ac:dyDescent="0.4">
      <c r="A90" s="7">
        <v>89</v>
      </c>
      <c r="B90" s="7" t="s">
        <v>53</v>
      </c>
      <c r="C90" s="7" t="s">
        <v>57</v>
      </c>
      <c r="D90" s="7" t="s">
        <v>54</v>
      </c>
      <c r="E90" s="7" t="s">
        <v>70</v>
      </c>
      <c r="F90" s="7">
        <v>296</v>
      </c>
      <c r="G90" s="8">
        <v>585</v>
      </c>
      <c r="H90" s="8">
        <v>679</v>
      </c>
      <c r="I90" s="9">
        <f t="shared" si="4"/>
        <v>1.1606837606837608</v>
      </c>
      <c r="J90" s="15">
        <v>21</v>
      </c>
      <c r="K90" s="19">
        <v>0.23</v>
      </c>
      <c r="L90" s="19">
        <v>0.87</v>
      </c>
      <c r="M90" s="20">
        <v>0.221</v>
      </c>
      <c r="N90" s="19">
        <v>2.3E-2</v>
      </c>
      <c r="O90" s="19">
        <v>0.02</v>
      </c>
      <c r="P90" s="17">
        <f t="shared" si="3"/>
        <v>0.375</v>
      </c>
    </row>
    <row r="91" spans="1:16" x14ac:dyDescent="0.4">
      <c r="A91" s="7">
        <v>90</v>
      </c>
      <c r="B91" s="7" t="s">
        <v>53</v>
      </c>
      <c r="C91" s="7" t="s">
        <v>57</v>
      </c>
      <c r="D91" s="7" t="s">
        <v>54</v>
      </c>
      <c r="E91" s="7" t="s">
        <v>72</v>
      </c>
      <c r="F91" s="7">
        <v>296</v>
      </c>
      <c r="G91" s="8">
        <v>577</v>
      </c>
      <c r="H91" s="8">
        <v>675</v>
      </c>
      <c r="I91" s="9">
        <f t="shared" si="4"/>
        <v>1.1698440207972269</v>
      </c>
      <c r="J91" s="15">
        <f>((97.3-80)/80)*100</f>
        <v>21.624999999999996</v>
      </c>
      <c r="K91" s="19">
        <v>0.23</v>
      </c>
      <c r="L91" s="19">
        <v>0.86</v>
      </c>
      <c r="M91" s="20">
        <v>0.218</v>
      </c>
      <c r="N91" s="19">
        <v>2.1999999999999999E-2</v>
      </c>
      <c r="O91" s="19">
        <v>2.1000000000000001E-2</v>
      </c>
      <c r="P91" s="17">
        <f t="shared" si="3"/>
        <v>0.37333333333333335</v>
      </c>
    </row>
    <row r="92" spans="1:16" x14ac:dyDescent="0.4">
      <c r="A92" s="10">
        <v>91</v>
      </c>
      <c r="B92" s="10" t="s">
        <v>53</v>
      </c>
      <c r="C92" s="10" t="s">
        <v>58</v>
      </c>
      <c r="D92" s="10" t="s">
        <v>59</v>
      </c>
      <c r="E92" s="10" t="s">
        <v>15</v>
      </c>
      <c r="F92" s="10">
        <v>347</v>
      </c>
      <c r="G92" s="11">
        <v>547</v>
      </c>
      <c r="H92" s="11">
        <v>659</v>
      </c>
      <c r="I92" s="12">
        <f t="shared" si="4"/>
        <v>1.2047531992687386</v>
      </c>
      <c r="J92" s="16">
        <f>((97-80)/80)*100</f>
        <v>21.25</v>
      </c>
      <c r="K92" s="21">
        <v>0.23</v>
      </c>
      <c r="L92" s="21">
        <v>0.82</v>
      </c>
      <c r="M92" s="24">
        <v>0.23300000000000001</v>
      </c>
      <c r="N92" s="21">
        <v>1.4999999999999999E-2</v>
      </c>
      <c r="O92" s="21">
        <v>2.1000000000000001E-2</v>
      </c>
      <c r="P92" s="18">
        <f>K92+(L92/6)</f>
        <v>0.3666666666666667</v>
      </c>
    </row>
    <row r="93" spans="1:16" x14ac:dyDescent="0.4">
      <c r="A93" s="10">
        <v>92</v>
      </c>
      <c r="B93" s="10" t="s">
        <v>53</v>
      </c>
      <c r="C93" s="10" t="s">
        <v>58</v>
      </c>
      <c r="D93" s="10" t="s">
        <v>59</v>
      </c>
      <c r="E93" s="10" t="s">
        <v>60</v>
      </c>
      <c r="F93" s="10">
        <v>347</v>
      </c>
      <c r="G93" s="11">
        <v>555</v>
      </c>
      <c r="H93" s="11">
        <v>667</v>
      </c>
      <c r="I93" s="12">
        <f t="shared" si="4"/>
        <v>1.2018018018018017</v>
      </c>
      <c r="J93" s="16">
        <v>21</v>
      </c>
      <c r="K93" s="21">
        <v>0.24</v>
      </c>
      <c r="L93" s="21">
        <v>0.81</v>
      </c>
      <c r="M93" s="24">
        <v>0.23300000000000001</v>
      </c>
      <c r="N93" s="21">
        <v>1.4999999999999999E-2</v>
      </c>
      <c r="O93" s="21">
        <v>2.1000000000000001E-2</v>
      </c>
      <c r="P93" s="18">
        <f t="shared" si="3"/>
        <v>0.375</v>
      </c>
    </row>
    <row r="94" spans="1:16" x14ac:dyDescent="0.4">
      <c r="A94" s="10">
        <v>93</v>
      </c>
      <c r="B94" s="10" t="s">
        <v>53</v>
      </c>
      <c r="C94" s="10" t="s">
        <v>58</v>
      </c>
      <c r="D94" s="10" t="s">
        <v>59</v>
      </c>
      <c r="E94" s="10" t="s">
        <v>16</v>
      </c>
      <c r="F94" s="10">
        <v>347</v>
      </c>
      <c r="G94" s="11">
        <v>554</v>
      </c>
      <c r="H94" s="11">
        <v>665</v>
      </c>
      <c r="I94" s="12">
        <f t="shared" si="4"/>
        <v>1.2003610108303249</v>
      </c>
      <c r="J94" s="16">
        <f>((93.4-80)/80)*100</f>
        <v>16.750000000000007</v>
      </c>
      <c r="K94" s="21">
        <v>0.24</v>
      </c>
      <c r="L94" s="21">
        <v>0.8</v>
      </c>
      <c r="M94" s="24">
        <v>0.22600000000000001</v>
      </c>
      <c r="N94" s="21">
        <v>1.2E-2</v>
      </c>
      <c r="O94" s="21">
        <v>1.9E-2</v>
      </c>
      <c r="P94" s="18">
        <f t="shared" si="3"/>
        <v>0.37333333333333329</v>
      </c>
    </row>
    <row r="95" spans="1:16" x14ac:dyDescent="0.4">
      <c r="A95" s="10">
        <v>94</v>
      </c>
      <c r="B95" s="10" t="s">
        <v>53</v>
      </c>
      <c r="C95" s="10" t="s">
        <v>58</v>
      </c>
      <c r="D95" s="10" t="s">
        <v>59</v>
      </c>
      <c r="E95" s="10" t="s">
        <v>43</v>
      </c>
      <c r="F95" s="10">
        <v>347</v>
      </c>
      <c r="G95" s="11">
        <v>554</v>
      </c>
      <c r="H95" s="11">
        <v>663</v>
      </c>
      <c r="I95" s="12">
        <f t="shared" si="4"/>
        <v>1.1967509025270757</v>
      </c>
      <c r="J95" s="16">
        <f>((94.4-80)/80)*100</f>
        <v>18.000000000000007</v>
      </c>
      <c r="K95" s="21">
        <v>0.25</v>
      </c>
      <c r="L95" s="21">
        <v>0.81</v>
      </c>
      <c r="M95" s="24">
        <v>0.23</v>
      </c>
      <c r="N95" s="21">
        <v>1.4999999999999999E-2</v>
      </c>
      <c r="O95" s="21">
        <v>2.1000000000000001E-2</v>
      </c>
      <c r="P95" s="18">
        <f t="shared" si="3"/>
        <v>0.38500000000000001</v>
      </c>
    </row>
    <row r="96" spans="1:16" x14ac:dyDescent="0.4">
      <c r="A96" s="7">
        <v>95</v>
      </c>
      <c r="B96" s="7" t="s">
        <v>53</v>
      </c>
      <c r="C96" s="7" t="s">
        <v>61</v>
      </c>
      <c r="D96" s="7" t="s">
        <v>59</v>
      </c>
      <c r="E96" s="7" t="s">
        <v>16</v>
      </c>
      <c r="F96" s="7">
        <v>348</v>
      </c>
      <c r="G96" s="8">
        <v>569</v>
      </c>
      <c r="H96" s="8">
        <v>680</v>
      </c>
      <c r="I96" s="9">
        <f t="shared" si="4"/>
        <v>1.195079086115993</v>
      </c>
      <c r="J96" s="15">
        <f>((95.1-80)/80)*100</f>
        <v>18.874999999999993</v>
      </c>
      <c r="K96" s="19">
        <v>0.25</v>
      </c>
      <c r="L96" s="19">
        <v>0.81</v>
      </c>
      <c r="M96" s="20">
        <v>0.22800000000000001</v>
      </c>
      <c r="N96" s="19">
        <v>1.4999999999999999E-2</v>
      </c>
      <c r="O96" s="19">
        <v>2.3E-2</v>
      </c>
      <c r="P96" s="17">
        <f t="shared" si="3"/>
        <v>0.38500000000000001</v>
      </c>
    </row>
    <row r="97" spans="1:16" x14ac:dyDescent="0.4">
      <c r="A97" s="7">
        <v>96</v>
      </c>
      <c r="B97" s="7" t="s">
        <v>53</v>
      </c>
      <c r="C97" s="7" t="s">
        <v>61</v>
      </c>
      <c r="D97" s="7" t="s">
        <v>59</v>
      </c>
      <c r="E97" s="7" t="s">
        <v>17</v>
      </c>
      <c r="F97" s="7">
        <v>348</v>
      </c>
      <c r="G97" s="8">
        <v>580</v>
      </c>
      <c r="H97" s="8">
        <v>684</v>
      </c>
      <c r="I97" s="9">
        <f t="shared" si="4"/>
        <v>1.1793103448275861</v>
      </c>
      <c r="J97" s="15">
        <f>((97.3-80)/80)*100</f>
        <v>21.624999999999996</v>
      </c>
      <c r="K97" s="19">
        <v>0.25</v>
      </c>
      <c r="L97" s="19">
        <v>0.79</v>
      </c>
      <c r="M97" s="20">
        <v>0.221</v>
      </c>
      <c r="N97" s="19">
        <v>1.6E-2</v>
      </c>
      <c r="O97" s="19">
        <v>2.3E-2</v>
      </c>
      <c r="P97" s="17">
        <f t="shared" si="3"/>
        <v>0.38166666666666671</v>
      </c>
    </row>
    <row r="98" spans="1:16" x14ac:dyDescent="0.4">
      <c r="A98" s="7">
        <v>97</v>
      </c>
      <c r="B98" s="7" t="s">
        <v>53</v>
      </c>
      <c r="C98" s="7" t="s">
        <v>61</v>
      </c>
      <c r="D98" s="7" t="s">
        <v>59</v>
      </c>
      <c r="E98" s="7" t="s">
        <v>70</v>
      </c>
      <c r="F98" s="7">
        <v>348</v>
      </c>
      <c r="G98" s="8">
        <v>568</v>
      </c>
      <c r="H98" s="8">
        <v>678</v>
      </c>
      <c r="I98" s="9">
        <f t="shared" si="4"/>
        <v>1.193661971830986</v>
      </c>
      <c r="J98" s="15">
        <f>((94.8-80)/80)*100</f>
        <v>18.499999999999996</v>
      </c>
      <c r="K98" s="19">
        <v>0.25</v>
      </c>
      <c r="L98" s="19">
        <v>0.81</v>
      </c>
      <c r="M98" s="20">
        <v>0.22700000000000001</v>
      </c>
      <c r="N98" s="19">
        <v>1.0999999999999999E-2</v>
      </c>
      <c r="O98" s="19">
        <v>2.1999999999999999E-2</v>
      </c>
      <c r="P98" s="17">
        <f t="shared" si="3"/>
        <v>0.38500000000000001</v>
      </c>
    </row>
    <row r="99" spans="1:16" x14ac:dyDescent="0.4">
      <c r="A99" s="7">
        <v>98</v>
      </c>
      <c r="B99" s="7" t="s">
        <v>53</v>
      </c>
      <c r="C99" s="7" t="s">
        <v>61</v>
      </c>
      <c r="D99" s="7" t="s">
        <v>59</v>
      </c>
      <c r="E99" s="7" t="s">
        <v>72</v>
      </c>
      <c r="F99" s="7">
        <v>348</v>
      </c>
      <c r="G99" s="8">
        <v>562</v>
      </c>
      <c r="H99" s="8">
        <v>672</v>
      </c>
      <c r="I99" s="9">
        <f t="shared" si="4"/>
        <v>1.195729537366548</v>
      </c>
      <c r="J99" s="15">
        <f>((95.4-80)/80)*100</f>
        <v>19.250000000000007</v>
      </c>
      <c r="K99" s="19">
        <v>0.25</v>
      </c>
      <c r="L99" s="19">
        <v>0.82</v>
      </c>
      <c r="M99" s="20">
        <v>0.23699999999999999</v>
      </c>
      <c r="N99" s="19">
        <v>1.4999999999999999E-2</v>
      </c>
      <c r="O99" s="19">
        <v>2.3E-2</v>
      </c>
      <c r="P99" s="17">
        <f t="shared" si="3"/>
        <v>0.38666666666666666</v>
      </c>
    </row>
    <row r="100" spans="1:16" x14ac:dyDescent="0.4">
      <c r="A100" s="10">
        <v>99</v>
      </c>
      <c r="B100" s="10" t="s">
        <v>53</v>
      </c>
      <c r="C100" s="10" t="s">
        <v>62</v>
      </c>
      <c r="D100" s="10" t="s">
        <v>59</v>
      </c>
      <c r="E100" s="10" t="s">
        <v>15</v>
      </c>
      <c r="F100" s="10">
        <v>179</v>
      </c>
      <c r="G100" s="11">
        <v>580</v>
      </c>
      <c r="H100" s="11">
        <v>686</v>
      </c>
      <c r="I100" s="9">
        <f t="shared" si="4"/>
        <v>1.1827586206896552</v>
      </c>
      <c r="J100" s="15">
        <f>17.6/80*100</f>
        <v>22.000000000000004</v>
      </c>
      <c r="K100" s="22">
        <v>0.25</v>
      </c>
      <c r="L100" s="22">
        <v>0.93</v>
      </c>
      <c r="M100" s="22">
        <v>0.20300000000000001</v>
      </c>
      <c r="N100" s="23">
        <v>2.4E-2</v>
      </c>
      <c r="O100" s="23">
        <v>1.9E-2</v>
      </c>
      <c r="P100" s="17">
        <f t="shared" si="3"/>
        <v>0.40500000000000003</v>
      </c>
    </row>
    <row r="101" spans="1:16" x14ac:dyDescent="0.4">
      <c r="A101" s="10">
        <v>100</v>
      </c>
      <c r="B101" s="10" t="s">
        <v>53</v>
      </c>
      <c r="C101" s="10" t="s">
        <v>62</v>
      </c>
      <c r="D101" s="10" t="s">
        <v>59</v>
      </c>
      <c r="E101" s="10" t="s">
        <v>60</v>
      </c>
      <c r="F101" s="10">
        <v>179</v>
      </c>
      <c r="G101" s="11">
        <v>580</v>
      </c>
      <c r="H101" s="11">
        <v>688</v>
      </c>
      <c r="I101" s="9">
        <f t="shared" si="4"/>
        <v>1.1862068965517241</v>
      </c>
      <c r="J101" s="15">
        <f>15.2/80*100</f>
        <v>19</v>
      </c>
      <c r="K101" s="22">
        <v>0.24</v>
      </c>
      <c r="L101" s="22">
        <v>0.95</v>
      </c>
      <c r="M101" s="22">
        <v>0.19600000000000001</v>
      </c>
      <c r="N101" s="23">
        <v>2.1999999999999999E-2</v>
      </c>
      <c r="O101" s="23">
        <v>1.6E-2</v>
      </c>
      <c r="P101" s="17">
        <f t="shared" si="3"/>
        <v>0.39833333333333332</v>
      </c>
    </row>
    <row r="102" spans="1:16" x14ac:dyDescent="0.4">
      <c r="A102" s="10">
        <v>101</v>
      </c>
      <c r="B102" s="10" t="s">
        <v>53</v>
      </c>
      <c r="C102" s="10" t="s">
        <v>62</v>
      </c>
      <c r="D102" s="10" t="s">
        <v>59</v>
      </c>
      <c r="E102" s="10" t="s">
        <v>16</v>
      </c>
      <c r="F102" s="10">
        <v>179</v>
      </c>
      <c r="G102" s="11">
        <v>549</v>
      </c>
      <c r="H102" s="11">
        <v>656</v>
      </c>
      <c r="I102" s="9">
        <f t="shared" si="4"/>
        <v>1.1948998178506376</v>
      </c>
      <c r="J102" s="15">
        <f>15.2/80*100</f>
        <v>19</v>
      </c>
      <c r="K102" s="22">
        <v>0.24</v>
      </c>
      <c r="L102" s="22">
        <v>0.92</v>
      </c>
      <c r="M102" s="22">
        <v>0.2</v>
      </c>
      <c r="N102" s="23">
        <v>2.3E-2</v>
      </c>
      <c r="O102" s="23">
        <v>1.9E-2</v>
      </c>
      <c r="P102" s="17">
        <f t="shared" si="3"/>
        <v>0.39333333333333331</v>
      </c>
    </row>
    <row r="103" spans="1:16" x14ac:dyDescent="0.4">
      <c r="A103" s="10">
        <v>102</v>
      </c>
      <c r="B103" s="10" t="s">
        <v>53</v>
      </c>
      <c r="C103" s="10" t="s">
        <v>62</v>
      </c>
      <c r="D103" s="10" t="s">
        <v>59</v>
      </c>
      <c r="E103" s="10" t="s">
        <v>43</v>
      </c>
      <c r="F103" s="10">
        <v>179</v>
      </c>
      <c r="G103" s="11">
        <v>559</v>
      </c>
      <c r="H103" s="11">
        <v>665</v>
      </c>
      <c r="I103" s="9">
        <f t="shared" si="4"/>
        <v>1.1896243291592128</v>
      </c>
      <c r="J103" s="15">
        <f>16.4/80*100</f>
        <v>20.5</v>
      </c>
      <c r="K103" s="22">
        <v>0.24</v>
      </c>
      <c r="L103" s="22">
        <v>0.94</v>
      </c>
      <c r="M103" s="22">
        <v>0.20200000000000001</v>
      </c>
      <c r="N103" s="23">
        <v>2.3E-2</v>
      </c>
      <c r="O103" s="23">
        <v>1.9E-2</v>
      </c>
      <c r="P103" s="17">
        <f t="shared" si="3"/>
        <v>0.39666666666666661</v>
      </c>
    </row>
    <row r="104" spans="1:16" x14ac:dyDescent="0.4">
      <c r="A104" s="7">
        <v>103</v>
      </c>
      <c r="B104" s="7" t="s">
        <v>53</v>
      </c>
      <c r="C104" s="7" t="s">
        <v>63</v>
      </c>
      <c r="D104" s="7" t="s">
        <v>59</v>
      </c>
      <c r="E104" s="7" t="s">
        <v>16</v>
      </c>
      <c r="F104" s="7">
        <v>180</v>
      </c>
      <c r="G104" s="8">
        <v>551</v>
      </c>
      <c r="H104" s="8">
        <v>657</v>
      </c>
      <c r="I104" s="9">
        <f t="shared" si="4"/>
        <v>1.1923774954627948</v>
      </c>
      <c r="J104" s="15">
        <f>13.1/80*100</f>
        <v>16.375</v>
      </c>
      <c r="K104" s="22">
        <v>0.24</v>
      </c>
      <c r="L104" s="22">
        <v>0.91</v>
      </c>
      <c r="M104" s="22">
        <v>0.19700000000000001</v>
      </c>
      <c r="N104" s="23">
        <v>1.7999999999999999E-2</v>
      </c>
      <c r="O104" s="23">
        <v>1.4E-2</v>
      </c>
      <c r="P104" s="17">
        <f t="shared" si="3"/>
        <v>0.39166666666666666</v>
      </c>
    </row>
    <row r="105" spans="1:16" x14ac:dyDescent="0.4">
      <c r="A105" s="7">
        <v>104</v>
      </c>
      <c r="B105" s="7" t="s">
        <v>53</v>
      </c>
      <c r="C105" s="7" t="s">
        <v>63</v>
      </c>
      <c r="D105" s="7" t="s">
        <v>59</v>
      </c>
      <c r="E105" s="7" t="s">
        <v>17</v>
      </c>
      <c r="F105" s="7">
        <v>180</v>
      </c>
      <c r="G105" s="8">
        <v>553</v>
      </c>
      <c r="H105" s="8">
        <v>659</v>
      </c>
      <c r="I105" s="9">
        <f t="shared" si="4"/>
        <v>1.1916817359855334</v>
      </c>
      <c r="J105" s="15">
        <f>15/80*100</f>
        <v>18.75</v>
      </c>
      <c r="K105" s="22">
        <v>0.24</v>
      </c>
      <c r="L105" s="22">
        <v>0.93</v>
      </c>
      <c r="M105" s="22">
        <v>0.20399999999999999</v>
      </c>
      <c r="N105" s="23">
        <v>8.0000000000000002E-3</v>
      </c>
      <c r="O105" s="23">
        <v>1.2E-2</v>
      </c>
      <c r="P105" s="17">
        <f t="shared" si="3"/>
        <v>0.39500000000000002</v>
      </c>
    </row>
    <row r="106" spans="1:16" x14ac:dyDescent="0.4">
      <c r="A106" s="7">
        <v>105</v>
      </c>
      <c r="B106" s="7" t="s">
        <v>53</v>
      </c>
      <c r="C106" s="7" t="s">
        <v>63</v>
      </c>
      <c r="D106" s="7" t="s">
        <v>59</v>
      </c>
      <c r="E106" s="7" t="s">
        <v>70</v>
      </c>
      <c r="F106" s="7">
        <v>180</v>
      </c>
      <c r="G106" s="8">
        <v>540</v>
      </c>
      <c r="H106" s="8">
        <v>646</v>
      </c>
      <c r="I106" s="9">
        <f t="shared" si="4"/>
        <v>1.1962962962962962</v>
      </c>
      <c r="J106" s="15">
        <f>18.9/80*100</f>
        <v>23.625</v>
      </c>
      <c r="K106" s="22">
        <v>0.24</v>
      </c>
      <c r="L106" s="22">
        <v>0.91</v>
      </c>
      <c r="M106" s="22">
        <v>0.19900000000000001</v>
      </c>
      <c r="N106" s="23">
        <v>1.2E-2</v>
      </c>
      <c r="O106" s="23">
        <v>1.2E-2</v>
      </c>
      <c r="P106" s="17">
        <f t="shared" si="3"/>
        <v>0.39166666666666666</v>
      </c>
    </row>
    <row r="107" spans="1:16" x14ac:dyDescent="0.4">
      <c r="A107" s="7">
        <v>106</v>
      </c>
      <c r="B107" s="7" t="s">
        <v>53</v>
      </c>
      <c r="C107" s="7" t="s">
        <v>63</v>
      </c>
      <c r="D107" s="7" t="s">
        <v>59</v>
      </c>
      <c r="E107" s="7" t="s">
        <v>72</v>
      </c>
      <c r="F107" s="7">
        <v>180</v>
      </c>
      <c r="G107" s="8">
        <v>542</v>
      </c>
      <c r="H107" s="8">
        <v>650</v>
      </c>
      <c r="I107" s="9">
        <f t="shared" si="4"/>
        <v>1.1992619926199262</v>
      </c>
      <c r="J107" s="15">
        <f>19.6/80*100</f>
        <v>24.500000000000004</v>
      </c>
      <c r="K107" s="22">
        <v>0.23</v>
      </c>
      <c r="L107" s="22">
        <v>0.9</v>
      </c>
      <c r="M107" s="22">
        <v>0.19500000000000001</v>
      </c>
      <c r="N107" s="23">
        <v>1.6E-2</v>
      </c>
      <c r="O107" s="23">
        <v>1.2E-2</v>
      </c>
      <c r="P107" s="17">
        <f t="shared" si="3"/>
        <v>0.38</v>
      </c>
    </row>
    <row r="108" spans="1:16" x14ac:dyDescent="0.4">
      <c r="A108" s="10">
        <v>107</v>
      </c>
      <c r="B108" s="10" t="s">
        <v>53</v>
      </c>
      <c r="C108" s="10" t="s">
        <v>66</v>
      </c>
      <c r="D108" s="10" t="s">
        <v>64</v>
      </c>
      <c r="E108" s="10" t="s">
        <v>15</v>
      </c>
      <c r="F108" s="10">
        <v>413</v>
      </c>
      <c r="G108" s="11">
        <v>576</v>
      </c>
      <c r="H108" s="11">
        <v>691</v>
      </c>
      <c r="I108" s="12">
        <f t="shared" si="4"/>
        <v>1.1996527777777777</v>
      </c>
      <c r="J108" s="16">
        <f>18.5/80*100</f>
        <v>23.125</v>
      </c>
      <c r="K108" s="22">
        <v>0.27</v>
      </c>
      <c r="L108" s="22">
        <v>0.82</v>
      </c>
      <c r="M108" s="22">
        <v>0.2</v>
      </c>
      <c r="N108" s="23">
        <v>1.2999999999999999E-2</v>
      </c>
      <c r="O108" s="23">
        <v>1.4E-2</v>
      </c>
      <c r="P108" s="17">
        <f t="shared" si="3"/>
        <v>0.40666666666666668</v>
      </c>
    </row>
    <row r="109" spans="1:16" x14ac:dyDescent="0.4">
      <c r="A109" s="10">
        <v>108</v>
      </c>
      <c r="B109" s="10" t="s">
        <v>53</v>
      </c>
      <c r="C109" s="10" t="s">
        <v>66</v>
      </c>
      <c r="D109" s="10" t="s">
        <v>64</v>
      </c>
      <c r="E109" s="10" t="s">
        <v>60</v>
      </c>
      <c r="F109" s="10">
        <v>413</v>
      </c>
      <c r="G109" s="11">
        <v>561</v>
      </c>
      <c r="H109" s="11">
        <v>678</v>
      </c>
      <c r="I109" s="12">
        <f t="shared" si="4"/>
        <v>1.2085561497326203</v>
      </c>
      <c r="J109" s="16">
        <f>15/80*100</f>
        <v>18.75</v>
      </c>
      <c r="K109" s="22">
        <v>0.26</v>
      </c>
      <c r="L109" s="22">
        <v>0.77</v>
      </c>
      <c r="M109" s="22">
        <v>0.185</v>
      </c>
      <c r="N109" s="23">
        <v>1.9E-2</v>
      </c>
      <c r="O109" s="23">
        <v>1.4999999999999999E-2</v>
      </c>
      <c r="P109" s="17">
        <f t="shared" si="3"/>
        <v>0.38833333333333331</v>
      </c>
    </row>
    <row r="110" spans="1:16" x14ac:dyDescent="0.4">
      <c r="A110" s="10">
        <v>109</v>
      </c>
      <c r="B110" s="10" t="s">
        <v>53</v>
      </c>
      <c r="C110" s="10" t="s">
        <v>66</v>
      </c>
      <c r="D110" s="10" t="s">
        <v>64</v>
      </c>
      <c r="E110" s="10" t="s">
        <v>16</v>
      </c>
      <c r="F110" s="10">
        <v>413</v>
      </c>
      <c r="G110" s="11">
        <v>577</v>
      </c>
      <c r="H110" s="11">
        <v>693</v>
      </c>
      <c r="I110" s="12">
        <f t="shared" si="4"/>
        <v>1.2010398613518198</v>
      </c>
      <c r="J110" s="16">
        <f>13/80*100</f>
        <v>16.25</v>
      </c>
      <c r="K110" s="22">
        <v>0.25</v>
      </c>
      <c r="L110" s="22">
        <v>0.8</v>
      </c>
      <c r="M110" s="22">
        <v>0.193</v>
      </c>
      <c r="N110" s="23">
        <v>1.9E-2</v>
      </c>
      <c r="O110" s="23">
        <v>1.4999999999999999E-2</v>
      </c>
      <c r="P110" s="17">
        <f t="shared" si="3"/>
        <v>0.3833333333333333</v>
      </c>
    </row>
    <row r="111" spans="1:16" x14ac:dyDescent="0.4">
      <c r="A111" s="10">
        <v>110</v>
      </c>
      <c r="B111" s="10" t="s">
        <v>53</v>
      </c>
      <c r="C111" s="10" t="s">
        <v>66</v>
      </c>
      <c r="D111" s="10" t="s">
        <v>64</v>
      </c>
      <c r="E111" s="10" t="s">
        <v>43</v>
      </c>
      <c r="F111" s="10">
        <v>413</v>
      </c>
      <c r="G111" s="11">
        <v>564</v>
      </c>
      <c r="H111" s="11">
        <v>681</v>
      </c>
      <c r="I111" s="12">
        <f t="shared" si="4"/>
        <v>1.2074468085106382</v>
      </c>
      <c r="J111" s="16">
        <f>15/80*100</f>
        <v>18.75</v>
      </c>
      <c r="K111" s="22">
        <v>0.25</v>
      </c>
      <c r="L111" s="22">
        <v>0.8</v>
      </c>
      <c r="M111" s="22">
        <v>0.187</v>
      </c>
      <c r="N111" s="23">
        <v>1.7999999999999999E-2</v>
      </c>
      <c r="O111" s="23">
        <v>1.2999999999999999E-2</v>
      </c>
      <c r="P111" s="17">
        <f t="shared" si="3"/>
        <v>0.3833333333333333</v>
      </c>
    </row>
    <row r="112" spans="1:16" x14ac:dyDescent="0.4">
      <c r="A112" s="7">
        <v>111</v>
      </c>
      <c r="B112" s="7" t="s">
        <v>53</v>
      </c>
      <c r="C112" s="7" t="s">
        <v>67</v>
      </c>
      <c r="D112" s="7" t="s">
        <v>64</v>
      </c>
      <c r="E112" s="7" t="s">
        <v>16</v>
      </c>
      <c r="F112" s="7">
        <v>414</v>
      </c>
      <c r="G112" s="8">
        <v>564</v>
      </c>
      <c r="H112" s="8">
        <v>683</v>
      </c>
      <c r="I112" s="9">
        <f t="shared" si="4"/>
        <v>1.2109929078014185</v>
      </c>
      <c r="J112" s="15">
        <f>15.9/80*100</f>
        <v>19.875</v>
      </c>
      <c r="K112" s="22">
        <v>0.24</v>
      </c>
      <c r="L112" s="22">
        <v>0.78</v>
      </c>
      <c r="M112" s="22">
        <v>0.182</v>
      </c>
      <c r="N112" s="23">
        <v>0.02</v>
      </c>
      <c r="O112" s="23">
        <v>1.4E-2</v>
      </c>
      <c r="P112" s="17">
        <f t="shared" si="3"/>
        <v>0.37</v>
      </c>
    </row>
    <row r="113" spans="1:16" x14ac:dyDescent="0.4">
      <c r="A113" s="7">
        <v>112</v>
      </c>
      <c r="B113" s="7" t="s">
        <v>53</v>
      </c>
      <c r="C113" s="7" t="s">
        <v>67</v>
      </c>
      <c r="D113" s="7" t="s">
        <v>64</v>
      </c>
      <c r="E113" s="7" t="s">
        <v>17</v>
      </c>
      <c r="F113" s="7">
        <v>414</v>
      </c>
      <c r="G113" s="8">
        <v>564</v>
      </c>
      <c r="H113" s="8">
        <v>680</v>
      </c>
      <c r="I113" s="9">
        <f t="shared" si="4"/>
        <v>1.2056737588652482</v>
      </c>
      <c r="J113" s="15">
        <f>15.8/80*100</f>
        <v>19.75</v>
      </c>
      <c r="K113" s="22">
        <v>0.25</v>
      </c>
      <c r="L113" s="22">
        <v>0.78</v>
      </c>
      <c r="M113" s="22">
        <v>0.183</v>
      </c>
      <c r="N113" s="23">
        <v>0.02</v>
      </c>
      <c r="O113" s="23">
        <v>1.4999999999999999E-2</v>
      </c>
      <c r="P113" s="17">
        <f t="shared" si="3"/>
        <v>0.38</v>
      </c>
    </row>
    <row r="114" spans="1:16" x14ac:dyDescent="0.4">
      <c r="A114" s="7">
        <v>113</v>
      </c>
      <c r="B114" s="7" t="s">
        <v>53</v>
      </c>
      <c r="C114" s="7" t="s">
        <v>67</v>
      </c>
      <c r="D114" s="7" t="s">
        <v>64</v>
      </c>
      <c r="E114" s="7" t="s">
        <v>70</v>
      </c>
      <c r="F114" s="7">
        <v>414</v>
      </c>
      <c r="G114" s="8">
        <v>570</v>
      </c>
      <c r="H114" s="8">
        <v>680</v>
      </c>
      <c r="I114" s="9">
        <f t="shared" si="4"/>
        <v>1.1929824561403508</v>
      </c>
      <c r="J114" s="15">
        <f>16/80*100</f>
        <v>20</v>
      </c>
      <c r="K114" s="22">
        <v>0.25</v>
      </c>
      <c r="L114" s="22">
        <v>0.86</v>
      </c>
      <c r="M114" s="22">
        <v>0.224</v>
      </c>
      <c r="N114" s="23">
        <v>1.9E-2</v>
      </c>
      <c r="O114" s="23">
        <v>0.02</v>
      </c>
      <c r="P114" s="17">
        <f t="shared" si="3"/>
        <v>0.39333333333333331</v>
      </c>
    </row>
    <row r="115" spans="1:16" x14ac:dyDescent="0.4">
      <c r="A115" s="7">
        <v>114</v>
      </c>
      <c r="B115" s="7" t="s">
        <v>53</v>
      </c>
      <c r="C115" s="7" t="s">
        <v>67</v>
      </c>
      <c r="D115" s="7" t="s">
        <v>64</v>
      </c>
      <c r="E115" s="7" t="s">
        <v>72</v>
      </c>
      <c r="F115" s="7">
        <v>414</v>
      </c>
      <c r="G115" s="8">
        <v>569</v>
      </c>
      <c r="H115" s="8">
        <v>680</v>
      </c>
      <c r="I115" s="9">
        <f t="shared" si="4"/>
        <v>1.195079086115993</v>
      </c>
      <c r="J115" s="15">
        <f>17.4/80*100</f>
        <v>21.749999999999996</v>
      </c>
      <c r="K115" s="22">
        <v>0.25</v>
      </c>
      <c r="L115" s="22">
        <v>0.87</v>
      </c>
      <c r="M115" s="22">
        <v>0.22900000000000001</v>
      </c>
      <c r="N115" s="23">
        <v>1.9E-2</v>
      </c>
      <c r="O115" s="23">
        <v>0.02</v>
      </c>
      <c r="P115" s="17">
        <f t="shared" si="3"/>
        <v>0.39500000000000002</v>
      </c>
    </row>
    <row r="116" spans="1:16" x14ac:dyDescent="0.4">
      <c r="A116" s="10">
        <v>115</v>
      </c>
      <c r="B116" s="10" t="s">
        <v>53</v>
      </c>
      <c r="C116" s="10" t="s">
        <v>68</v>
      </c>
      <c r="D116" s="10" t="s">
        <v>65</v>
      </c>
      <c r="E116" s="10" t="s">
        <v>15</v>
      </c>
      <c r="F116" s="10">
        <v>552</v>
      </c>
      <c r="G116" s="11">
        <v>564</v>
      </c>
      <c r="H116" s="11">
        <v>676</v>
      </c>
      <c r="I116" s="12">
        <f t="shared" si="4"/>
        <v>1.198581560283688</v>
      </c>
      <c r="J116" s="16">
        <f>18.4/80*100</f>
        <v>23</v>
      </c>
      <c r="K116" s="22">
        <v>0.25</v>
      </c>
      <c r="L116" s="22">
        <v>0.84</v>
      </c>
      <c r="M116" s="22">
        <v>0.21</v>
      </c>
      <c r="N116" s="23">
        <v>2.4E-2</v>
      </c>
      <c r="O116" s="23">
        <v>1.2999999999999999E-2</v>
      </c>
      <c r="P116" s="17">
        <f t="shared" ref="P116:P127" si="5">K116+(L116/6)</f>
        <v>0.39</v>
      </c>
    </row>
    <row r="117" spans="1:16" x14ac:dyDescent="0.4">
      <c r="A117" s="10">
        <v>116</v>
      </c>
      <c r="B117" s="10" t="s">
        <v>53</v>
      </c>
      <c r="C117" s="10" t="s">
        <v>68</v>
      </c>
      <c r="D117" s="10" t="s">
        <v>65</v>
      </c>
      <c r="E117" s="10" t="s">
        <v>60</v>
      </c>
      <c r="F117" s="10">
        <v>552</v>
      </c>
      <c r="G117" s="11">
        <v>573</v>
      </c>
      <c r="H117" s="11">
        <v>686</v>
      </c>
      <c r="I117" s="12">
        <f t="shared" si="4"/>
        <v>1.1972076788830714</v>
      </c>
      <c r="J117" s="16">
        <f>15.8/80*100</f>
        <v>19.75</v>
      </c>
      <c r="K117" s="22">
        <v>0.25</v>
      </c>
      <c r="L117" s="22">
        <v>0.84</v>
      </c>
      <c r="M117" s="22">
        <v>0.20799999999999999</v>
      </c>
      <c r="N117" s="23">
        <v>2.4E-2</v>
      </c>
      <c r="O117" s="23">
        <v>1.2E-2</v>
      </c>
      <c r="P117" s="17">
        <f t="shared" si="5"/>
        <v>0.39</v>
      </c>
    </row>
    <row r="118" spans="1:16" x14ac:dyDescent="0.4">
      <c r="A118" s="10">
        <v>117</v>
      </c>
      <c r="B118" s="10" t="s">
        <v>53</v>
      </c>
      <c r="C118" s="10" t="s">
        <v>68</v>
      </c>
      <c r="D118" s="10" t="s">
        <v>65</v>
      </c>
      <c r="E118" s="10" t="s">
        <v>16</v>
      </c>
      <c r="F118" s="10">
        <v>552</v>
      </c>
      <c r="G118" s="11">
        <v>569</v>
      </c>
      <c r="H118" s="11">
        <v>684</v>
      </c>
      <c r="I118" s="12">
        <f t="shared" si="4"/>
        <v>1.2021089630931459</v>
      </c>
      <c r="J118" s="16">
        <f>13.2/80*100</f>
        <v>16.499999999999996</v>
      </c>
      <c r="K118" s="22">
        <v>0.24</v>
      </c>
      <c r="L118" s="22">
        <v>0.86</v>
      </c>
      <c r="M118" s="22">
        <v>0.20399999999999999</v>
      </c>
      <c r="N118" s="23">
        <v>2.4E-2</v>
      </c>
      <c r="O118" s="23">
        <v>0.01</v>
      </c>
      <c r="P118" s="17">
        <f t="shared" si="5"/>
        <v>0.3833333333333333</v>
      </c>
    </row>
    <row r="119" spans="1:16" x14ac:dyDescent="0.4">
      <c r="A119" s="10">
        <v>118</v>
      </c>
      <c r="B119" s="10" t="s">
        <v>53</v>
      </c>
      <c r="C119" s="10" t="s">
        <v>68</v>
      </c>
      <c r="D119" s="10" t="s">
        <v>65</v>
      </c>
      <c r="E119" s="10" t="s">
        <v>43</v>
      </c>
      <c r="F119" s="10">
        <v>552</v>
      </c>
      <c r="G119" s="11">
        <v>592</v>
      </c>
      <c r="H119" s="11">
        <v>697</v>
      </c>
      <c r="I119" s="12">
        <f t="shared" si="4"/>
        <v>1.1773648648648649</v>
      </c>
      <c r="J119" s="16">
        <f>12/80*100</f>
        <v>15</v>
      </c>
      <c r="K119" s="22">
        <v>0.25</v>
      </c>
      <c r="L119" s="22">
        <v>0.83</v>
      </c>
      <c r="M119" s="22">
        <v>0.20799999999999999</v>
      </c>
      <c r="N119" s="23">
        <v>2.4E-2</v>
      </c>
      <c r="O119" s="23">
        <v>1.2E-2</v>
      </c>
      <c r="P119" s="17">
        <f t="shared" si="5"/>
        <v>0.38833333333333331</v>
      </c>
    </row>
    <row r="120" spans="1:16" x14ac:dyDescent="0.4">
      <c r="A120" s="10">
        <v>119</v>
      </c>
      <c r="B120" s="10" t="s">
        <v>53</v>
      </c>
      <c r="C120" s="10" t="s">
        <v>73</v>
      </c>
      <c r="D120" s="10" t="s">
        <v>69</v>
      </c>
      <c r="E120" s="10" t="s">
        <v>15</v>
      </c>
      <c r="F120" s="10">
        <v>57</v>
      </c>
      <c r="G120" s="11">
        <v>543</v>
      </c>
      <c r="H120" s="11">
        <v>651</v>
      </c>
      <c r="I120" s="12">
        <f t="shared" si="4"/>
        <v>1.1988950276243093</v>
      </c>
      <c r="J120" s="16">
        <f>19.4/80*100</f>
        <v>24.25</v>
      </c>
      <c r="K120" s="22">
        <v>0.24</v>
      </c>
      <c r="L120" s="22">
        <v>0.89</v>
      </c>
      <c r="M120" s="22">
        <v>0.19700000000000001</v>
      </c>
      <c r="N120" s="23">
        <v>1.4999999999999999E-2</v>
      </c>
      <c r="O120" s="23">
        <v>1.0999999999999999E-2</v>
      </c>
      <c r="P120" s="17">
        <f t="shared" si="5"/>
        <v>0.38833333333333331</v>
      </c>
    </row>
    <row r="121" spans="1:16" x14ac:dyDescent="0.4">
      <c r="A121" s="10">
        <v>120</v>
      </c>
      <c r="B121" s="10" t="s">
        <v>53</v>
      </c>
      <c r="C121" s="10" t="s">
        <v>73</v>
      </c>
      <c r="D121" s="10" t="s">
        <v>69</v>
      </c>
      <c r="E121" s="10" t="s">
        <v>60</v>
      </c>
      <c r="F121" s="10">
        <v>57</v>
      </c>
      <c r="G121" s="11">
        <v>545</v>
      </c>
      <c r="H121" s="11">
        <v>649</v>
      </c>
      <c r="I121" s="12">
        <f t="shared" si="4"/>
        <v>1.1908256880733945</v>
      </c>
      <c r="J121" s="16">
        <f>18.3/80*100</f>
        <v>22.875</v>
      </c>
      <c r="K121" s="22">
        <v>0.24</v>
      </c>
      <c r="L121" s="22">
        <v>0.89</v>
      </c>
      <c r="M121" s="22">
        <v>0.19800000000000001</v>
      </c>
      <c r="N121" s="23">
        <v>1.4999999999999999E-2</v>
      </c>
      <c r="O121" s="23">
        <v>1.2E-2</v>
      </c>
      <c r="P121" s="17">
        <f t="shared" si="5"/>
        <v>0.38833333333333331</v>
      </c>
    </row>
    <row r="122" spans="1:16" x14ac:dyDescent="0.4">
      <c r="A122" s="10">
        <v>121</v>
      </c>
      <c r="B122" s="10" t="s">
        <v>53</v>
      </c>
      <c r="C122" s="10" t="s">
        <v>73</v>
      </c>
      <c r="D122" s="10" t="s">
        <v>69</v>
      </c>
      <c r="E122" s="10" t="s">
        <v>16</v>
      </c>
      <c r="F122" s="10">
        <v>57</v>
      </c>
      <c r="G122" s="11">
        <v>542</v>
      </c>
      <c r="H122" s="11">
        <v>646</v>
      </c>
      <c r="I122" s="12">
        <f t="shared" si="4"/>
        <v>1.1918819188191883</v>
      </c>
      <c r="J122" s="16">
        <f>16/80*100</f>
        <v>20</v>
      </c>
      <c r="K122" s="22">
        <v>0.23</v>
      </c>
      <c r="L122" s="22">
        <v>0.88</v>
      </c>
      <c r="M122" s="22">
        <v>0.192</v>
      </c>
      <c r="N122" s="23">
        <v>1.4999999999999999E-2</v>
      </c>
      <c r="O122" s="23">
        <v>1.0999999999999999E-2</v>
      </c>
      <c r="P122" s="17">
        <f t="shared" si="5"/>
        <v>0.37666666666666671</v>
      </c>
    </row>
    <row r="123" spans="1:16" x14ac:dyDescent="0.4">
      <c r="A123" s="10">
        <v>122</v>
      </c>
      <c r="B123" s="10" t="s">
        <v>53</v>
      </c>
      <c r="C123" s="10" t="s">
        <v>73</v>
      </c>
      <c r="D123" s="10" t="s">
        <v>69</v>
      </c>
      <c r="E123" s="10" t="s">
        <v>43</v>
      </c>
      <c r="F123" s="10">
        <v>57</v>
      </c>
      <c r="G123" s="11">
        <v>549</v>
      </c>
      <c r="H123" s="11">
        <v>652</v>
      </c>
      <c r="I123" s="12">
        <f t="shared" si="4"/>
        <v>1.1876138433515482</v>
      </c>
      <c r="J123" s="16">
        <f>16.3/80*100</f>
        <v>20.375</v>
      </c>
      <c r="K123" s="22">
        <v>0.23</v>
      </c>
      <c r="L123" s="22">
        <v>0.89</v>
      </c>
      <c r="M123" s="22">
        <v>0.19400000000000001</v>
      </c>
      <c r="N123" s="23">
        <v>1.4999999999999999E-2</v>
      </c>
      <c r="O123" s="23">
        <v>1.0999999999999999E-2</v>
      </c>
      <c r="P123" s="17">
        <f t="shared" si="5"/>
        <v>0.37833333333333335</v>
      </c>
    </row>
    <row r="124" spans="1:16" x14ac:dyDescent="0.4">
      <c r="A124" s="7">
        <v>123</v>
      </c>
      <c r="B124" s="7" t="s">
        <v>53</v>
      </c>
      <c r="C124" s="7" t="s">
        <v>74</v>
      </c>
      <c r="D124" s="7" t="s">
        <v>69</v>
      </c>
      <c r="E124" s="7" t="s">
        <v>16</v>
      </c>
      <c r="F124" s="7">
        <v>58</v>
      </c>
      <c r="G124" s="8">
        <v>541</v>
      </c>
      <c r="H124" s="8">
        <v>642</v>
      </c>
      <c r="I124" s="9">
        <f t="shared" si="4"/>
        <v>1.1866913123844731</v>
      </c>
      <c r="J124" s="15">
        <f>16.5/80*100</f>
        <v>20.625</v>
      </c>
      <c r="K124" s="22">
        <v>0.24</v>
      </c>
      <c r="L124" s="22">
        <v>0.89</v>
      </c>
      <c r="M124" s="22">
        <v>0.19700000000000001</v>
      </c>
      <c r="N124" s="23">
        <v>1.4999999999999999E-2</v>
      </c>
      <c r="O124" s="23">
        <v>1.2E-2</v>
      </c>
      <c r="P124" s="17">
        <f t="shared" si="5"/>
        <v>0.38833333333333331</v>
      </c>
    </row>
    <row r="125" spans="1:16" x14ac:dyDescent="0.4">
      <c r="A125" s="7">
        <v>124</v>
      </c>
      <c r="B125" s="7" t="s">
        <v>53</v>
      </c>
      <c r="C125" s="7" t="s">
        <v>74</v>
      </c>
      <c r="D125" s="7" t="s">
        <v>69</v>
      </c>
      <c r="E125" s="7" t="s">
        <v>17</v>
      </c>
      <c r="F125" s="7">
        <v>58</v>
      </c>
      <c r="G125" s="8">
        <v>553</v>
      </c>
      <c r="H125" s="8">
        <v>652</v>
      </c>
      <c r="I125" s="9">
        <f t="shared" si="4"/>
        <v>1.1790235081374323</v>
      </c>
      <c r="J125" s="15">
        <f>15.5/80*100</f>
        <v>19.375</v>
      </c>
      <c r="K125" s="22">
        <v>0.23</v>
      </c>
      <c r="L125" s="22">
        <v>0.87</v>
      </c>
      <c r="M125" s="22">
        <v>0.189</v>
      </c>
      <c r="N125" s="23">
        <v>1.6E-2</v>
      </c>
      <c r="O125" s="23">
        <v>1.0999999999999999E-2</v>
      </c>
      <c r="P125" s="17">
        <f t="shared" si="5"/>
        <v>0.375</v>
      </c>
    </row>
    <row r="126" spans="1:16" x14ac:dyDescent="0.4">
      <c r="A126" s="7">
        <v>125</v>
      </c>
      <c r="B126" s="7" t="s">
        <v>53</v>
      </c>
      <c r="C126" s="7" t="s">
        <v>74</v>
      </c>
      <c r="D126" s="7" t="s">
        <v>69</v>
      </c>
      <c r="E126" s="7" t="s">
        <v>70</v>
      </c>
      <c r="F126" s="7">
        <v>58</v>
      </c>
      <c r="G126" s="8">
        <v>543</v>
      </c>
      <c r="H126" s="8">
        <v>652</v>
      </c>
      <c r="I126" s="9">
        <f t="shared" si="4"/>
        <v>1.2007366482504604</v>
      </c>
      <c r="J126" s="15">
        <f>18/80*100</f>
        <v>22.5</v>
      </c>
      <c r="K126" s="22">
        <v>0.24</v>
      </c>
      <c r="L126" s="22">
        <v>0.88</v>
      </c>
      <c r="M126" s="22">
        <v>0.19400000000000001</v>
      </c>
      <c r="N126" s="23">
        <v>1.7999999999999999E-2</v>
      </c>
      <c r="O126" s="23">
        <v>1.4E-2</v>
      </c>
      <c r="P126" s="17">
        <f t="shared" si="5"/>
        <v>0.38666666666666666</v>
      </c>
    </row>
    <row r="127" spans="1:16" x14ac:dyDescent="0.4">
      <c r="A127" s="7">
        <v>126</v>
      </c>
      <c r="B127" s="7" t="s">
        <v>53</v>
      </c>
      <c r="C127" s="7" t="s">
        <v>74</v>
      </c>
      <c r="D127" s="7" t="s">
        <v>69</v>
      </c>
      <c r="E127" s="7" t="s">
        <v>72</v>
      </c>
      <c r="F127" s="7">
        <v>58</v>
      </c>
      <c r="G127" s="8">
        <v>561</v>
      </c>
      <c r="H127" s="8">
        <v>664</v>
      </c>
      <c r="I127" s="9">
        <f t="shared" si="4"/>
        <v>1.1836007130124777</v>
      </c>
      <c r="J127" s="15">
        <f>16.9/80*100</f>
        <v>21.125</v>
      </c>
      <c r="K127" s="22">
        <v>0.24</v>
      </c>
      <c r="L127" s="22">
        <v>0.88</v>
      </c>
      <c r="M127" s="22">
        <v>0.19400000000000001</v>
      </c>
      <c r="N127" s="23">
        <v>1.9E-2</v>
      </c>
      <c r="O127" s="23">
        <v>1.4999999999999999E-2</v>
      </c>
      <c r="P127" s="17">
        <f t="shared" si="5"/>
        <v>0.38666666666666666</v>
      </c>
    </row>
  </sheetData>
  <printOptions horizontalCentered="1"/>
  <pageMargins left="0.31496062992125984" right="0.31496062992125984" top="0.35433070866141736" bottom="0.35433070866141736" header="0.31496062992125984" footer="0.31496062992125984"/>
  <pageSetup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</vt:lpstr>
      <vt:lpstr>ALL!Print_Area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2026-01-29T06:21:15Z</dcterms:modified>
</cp:coreProperties>
</file>